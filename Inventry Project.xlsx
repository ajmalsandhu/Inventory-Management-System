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uhammad Ajmal\Desktop\CS\Data Analyst\Excel\Projects\"/>
    </mc:Choice>
  </mc:AlternateContent>
  <xr:revisionPtr revIDLastSave="0" documentId="13_ncr:1_{B0E327D1-5C73-40D6-A8C2-F814ED71CC2E}" xr6:coauthVersionLast="47" xr6:coauthVersionMax="47" xr10:uidLastSave="{00000000-0000-0000-0000-000000000000}"/>
  <bookViews>
    <workbookView xWindow="-120" yWindow="-120" windowWidth="20730" windowHeight="11040" xr2:uid="{0ECB8F9A-A221-4EFC-A2E4-B20CAD7742D7}"/>
  </bookViews>
  <sheets>
    <sheet name="Dashboard" sheetId="9" r:id="rId1"/>
    <sheet name="Customers" sheetId="10" r:id="rId2"/>
    <sheet name="Vendors" sheetId="12" r:id="rId3"/>
    <sheet name="Products" sheetId="11" r:id="rId4"/>
    <sheet name="New Entry" sheetId="13" r:id="rId5"/>
    <sheet name="Purchase" sheetId="15" r:id="rId6"/>
    <sheet name="Sales" sheetId="14" r:id="rId7"/>
    <sheet name="Inventory" sheetId="16" r:id="rId8"/>
    <sheet name="Pivots" sheetId="17" r:id="rId9"/>
  </sheets>
  <definedNames>
    <definedName name="Cust_ID">CustomersData[Customer ID.]</definedName>
    <definedName name="HSN_Code">ProductsData[HSN Code]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1" l="1"/>
  <c r="K15" i="14" s="1"/>
  <c r="L15" i="14" s="1"/>
  <c r="E22" i="15"/>
  <c r="F22" i="15"/>
  <c r="I22" i="15"/>
  <c r="J22" i="15"/>
  <c r="K20" i="16"/>
  <c r="K21" i="16"/>
  <c r="K22" i="16"/>
  <c r="K23" i="16"/>
  <c r="K24" i="16"/>
  <c r="K25" i="16"/>
  <c r="K26" i="16"/>
  <c r="K27" i="16"/>
  <c r="K28" i="16"/>
  <c r="K29" i="16"/>
  <c r="K30" i="16"/>
  <c r="G2" i="17"/>
  <c r="E5" i="17" s="1"/>
  <c r="C10" i="17"/>
  <c r="L8" i="14"/>
  <c r="L11" i="14"/>
  <c r="L14" i="14"/>
  <c r="L16" i="14"/>
  <c r="L19" i="14"/>
  <c r="L22" i="14"/>
  <c r="L7" i="14"/>
  <c r="K8" i="14"/>
  <c r="K9" i="14"/>
  <c r="L9" i="14" s="1"/>
  <c r="K10" i="14"/>
  <c r="L10" i="14" s="1"/>
  <c r="K11" i="14"/>
  <c r="K12" i="14"/>
  <c r="L12" i="14" s="1"/>
  <c r="K13" i="14"/>
  <c r="L13" i="14" s="1"/>
  <c r="K14" i="14"/>
  <c r="K16" i="14"/>
  <c r="K17" i="14"/>
  <c r="L17" i="14" s="1"/>
  <c r="K18" i="14"/>
  <c r="L18" i="14" s="1"/>
  <c r="K19" i="14"/>
  <c r="K20" i="14"/>
  <c r="L20" i="14" s="1"/>
  <c r="K21" i="14"/>
  <c r="L21" i="14" s="1"/>
  <c r="K22" i="14"/>
  <c r="K23" i="14"/>
  <c r="L23" i="14" s="1"/>
  <c r="K7" i="14"/>
  <c r="I8" i="15"/>
  <c r="J8" i="15" s="1"/>
  <c r="I9" i="15"/>
  <c r="I10" i="15"/>
  <c r="I11" i="15"/>
  <c r="I12" i="15"/>
  <c r="I13" i="15"/>
  <c r="I14" i="15"/>
  <c r="I15" i="15"/>
  <c r="I16" i="15"/>
  <c r="I17" i="15"/>
  <c r="I18" i="15"/>
  <c r="I19" i="15"/>
  <c r="J19" i="15" s="1"/>
  <c r="I20" i="15"/>
  <c r="J20" i="15" s="1"/>
  <c r="I21" i="15"/>
  <c r="C14" i="17"/>
  <c r="C7" i="17"/>
  <c r="C4" i="17"/>
  <c r="J20" i="16"/>
  <c r="J21" i="16"/>
  <c r="J22" i="16"/>
  <c r="J23" i="16"/>
  <c r="J24" i="16"/>
  <c r="J25" i="16"/>
  <c r="J26" i="16"/>
  <c r="J27" i="16"/>
  <c r="J28" i="16"/>
  <c r="J29" i="16"/>
  <c r="J30" i="16"/>
  <c r="E21" i="15"/>
  <c r="F21" i="15"/>
  <c r="J21" i="15"/>
  <c r="I21" i="14"/>
  <c r="I22" i="14"/>
  <c r="I23" i="14"/>
  <c r="D9" i="16"/>
  <c r="E9" i="16"/>
  <c r="F9" i="16"/>
  <c r="D10" i="16"/>
  <c r="E10" i="16"/>
  <c r="F10" i="16"/>
  <c r="D11" i="16"/>
  <c r="E11" i="16"/>
  <c r="F11" i="16"/>
  <c r="D12" i="16"/>
  <c r="E12" i="16"/>
  <c r="F12" i="16"/>
  <c r="D13" i="16"/>
  <c r="E13" i="16"/>
  <c r="F13" i="16"/>
  <c r="D14" i="16"/>
  <c r="E14" i="16"/>
  <c r="F14" i="16"/>
  <c r="D15" i="16"/>
  <c r="E15" i="16"/>
  <c r="F15" i="16"/>
  <c r="D16" i="16"/>
  <c r="E16" i="16"/>
  <c r="F16" i="16"/>
  <c r="D17" i="16"/>
  <c r="E17" i="16"/>
  <c r="F17" i="16"/>
  <c r="D18" i="16"/>
  <c r="E18" i="16"/>
  <c r="F18" i="16"/>
  <c r="D19" i="16"/>
  <c r="E19" i="16"/>
  <c r="F19" i="16"/>
  <c r="D20" i="16"/>
  <c r="E20" i="16"/>
  <c r="F20" i="16"/>
  <c r="D21" i="16"/>
  <c r="E21" i="16"/>
  <c r="F21" i="16"/>
  <c r="D22" i="16"/>
  <c r="E22" i="16"/>
  <c r="F22" i="16"/>
  <c r="D23" i="16"/>
  <c r="E23" i="16"/>
  <c r="F23" i="16"/>
  <c r="D24" i="16"/>
  <c r="E24" i="16"/>
  <c r="F24" i="16"/>
  <c r="D25" i="16"/>
  <c r="E25" i="16"/>
  <c r="F25" i="16"/>
  <c r="D26" i="16"/>
  <c r="E26" i="16"/>
  <c r="F26" i="16"/>
  <c r="D27" i="16"/>
  <c r="E27" i="16"/>
  <c r="F27" i="16"/>
  <c r="D28" i="16"/>
  <c r="E28" i="16"/>
  <c r="F28" i="16"/>
  <c r="D29" i="16"/>
  <c r="E29" i="16"/>
  <c r="F29" i="16"/>
  <c r="D30" i="16"/>
  <c r="E30" i="16"/>
  <c r="F30" i="16"/>
  <c r="E8" i="16"/>
  <c r="F8" i="16"/>
  <c r="D8" i="16"/>
  <c r="G19" i="11"/>
  <c r="G9" i="11"/>
  <c r="G10" i="11"/>
  <c r="G11" i="11"/>
  <c r="G12" i="11"/>
  <c r="G13" i="11"/>
  <c r="G14" i="11"/>
  <c r="G15" i="11"/>
  <c r="G16" i="11"/>
  <c r="G17" i="11"/>
  <c r="G18" i="11"/>
  <c r="F9" i="11" a="1"/>
  <c r="F9" i="11" s="1"/>
  <c r="F10" i="11" a="1"/>
  <c r="F10" i="11"/>
  <c r="F11" i="11" a="1"/>
  <c r="F11" i="11"/>
  <c r="F12" i="11" a="1"/>
  <c r="F12" i="11"/>
  <c r="F13" i="11" a="1"/>
  <c r="F13" i="11" s="1"/>
  <c r="F14" i="11" a="1"/>
  <c r="F14" i="11"/>
  <c r="F15" i="11" a="1"/>
  <c r="F15" i="11"/>
  <c r="F16" i="11" a="1"/>
  <c r="F16" i="11"/>
  <c r="F17" i="11" a="1"/>
  <c r="F17" i="11" s="1"/>
  <c r="F18" i="11" a="1"/>
  <c r="F18" i="11"/>
  <c r="F19" i="11" a="1"/>
  <c r="F19" i="11"/>
  <c r="F8" i="11" a="1"/>
  <c r="F8" i="11"/>
  <c r="E23" i="14"/>
  <c r="G23" i="14"/>
  <c r="E22" i="14"/>
  <c r="G22" i="14"/>
  <c r="E21" i="14"/>
  <c r="G21" i="14"/>
  <c r="G8" i="14"/>
  <c r="G9" i="14"/>
  <c r="G10" i="14"/>
  <c r="G11" i="14"/>
  <c r="G12" i="14"/>
  <c r="H9" i="16" s="1"/>
  <c r="G13" i="14"/>
  <c r="G14" i="14"/>
  <c r="G15" i="14"/>
  <c r="G16" i="14"/>
  <c r="G17" i="14"/>
  <c r="G18" i="14"/>
  <c r="G19" i="14"/>
  <c r="G20" i="14"/>
  <c r="G7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F9" i="15"/>
  <c r="F10" i="15"/>
  <c r="F11" i="15"/>
  <c r="F12" i="15"/>
  <c r="F13" i="15"/>
  <c r="F14" i="15"/>
  <c r="F15" i="15"/>
  <c r="F16" i="15"/>
  <c r="F17" i="15"/>
  <c r="F18" i="15"/>
  <c r="F19" i="15"/>
  <c r="F20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H8" i="16" l="1"/>
  <c r="H15" i="16"/>
  <c r="H12" i="16"/>
  <c r="H19" i="16"/>
  <c r="H11" i="16"/>
  <c r="H13" i="16"/>
  <c r="H18" i="16"/>
  <c r="H10" i="16"/>
  <c r="H17" i="16"/>
  <c r="H14" i="16"/>
  <c r="H16" i="16"/>
  <c r="J10" i="15"/>
  <c r="J12" i="15"/>
  <c r="J18" i="15"/>
  <c r="J11" i="15"/>
  <c r="J9" i="15"/>
  <c r="J15" i="15"/>
  <c r="J13" i="15"/>
  <c r="F8" i="15"/>
  <c r="E8" i="15"/>
  <c r="G11" i="16" s="1"/>
  <c r="J17" i="15"/>
  <c r="J16" i="15"/>
  <c r="J14" i="15"/>
  <c r="I8" i="10"/>
  <c r="F8" i="10"/>
  <c r="I27" i="10"/>
  <c r="F27" i="10"/>
  <c r="I26" i="10"/>
  <c r="F26" i="10"/>
  <c r="I25" i="10"/>
  <c r="F25" i="10"/>
  <c r="I24" i="10"/>
  <c r="F24" i="10"/>
  <c r="I23" i="10"/>
  <c r="F23" i="10"/>
  <c r="I22" i="10"/>
  <c r="F22" i="10"/>
  <c r="I21" i="10"/>
  <c r="F21" i="10"/>
  <c r="I20" i="10"/>
  <c r="F20" i="10"/>
  <c r="I19" i="10"/>
  <c r="F19" i="10"/>
  <c r="I18" i="10"/>
  <c r="F18" i="10"/>
  <c r="I17" i="10"/>
  <c r="F17" i="10"/>
  <c r="I16" i="10"/>
  <c r="F16" i="10"/>
  <c r="I15" i="10"/>
  <c r="F15" i="10"/>
  <c r="I14" i="10"/>
  <c r="F14" i="10"/>
  <c r="I13" i="10"/>
  <c r="F13" i="10"/>
  <c r="I12" i="10"/>
  <c r="F12" i="10"/>
  <c r="I11" i="10"/>
  <c r="F11" i="10"/>
  <c r="I10" i="10"/>
  <c r="F10" i="10"/>
  <c r="I9" i="10"/>
  <c r="F9" i="10"/>
  <c r="G13" i="16" l="1"/>
  <c r="I13" i="16" s="1"/>
  <c r="G10" i="16"/>
  <c r="I10" i="16" s="1"/>
  <c r="I17" i="14" s="1"/>
  <c r="G12" i="16"/>
  <c r="G17" i="16"/>
  <c r="G14" i="16"/>
  <c r="I14" i="16"/>
  <c r="J14" i="16" s="1"/>
  <c r="G16" i="16"/>
  <c r="I16" i="16" s="1"/>
  <c r="I17" i="16"/>
  <c r="K17" i="16" s="1"/>
  <c r="I11" i="16"/>
  <c r="J11" i="16" s="1"/>
  <c r="I12" i="16"/>
  <c r="K12" i="16" s="1"/>
  <c r="G15" i="16"/>
  <c r="I15" i="16" s="1"/>
  <c r="K15" i="16" s="1"/>
  <c r="G18" i="16"/>
  <c r="I18" i="16" s="1"/>
  <c r="K18" i="16" s="1"/>
  <c r="I10" i="14"/>
  <c r="I8" i="14"/>
  <c r="G19" i="16"/>
  <c r="I19" i="16" s="1"/>
  <c r="K19" i="16" s="1"/>
  <c r="G9" i="16"/>
  <c r="I9" i="16" s="1"/>
  <c r="K9" i="16" s="1"/>
  <c r="G8" i="16"/>
  <c r="I8" i="16" s="1"/>
  <c r="K16" i="16" l="1"/>
  <c r="I12" i="14"/>
  <c r="J16" i="16"/>
  <c r="K14" i="16"/>
  <c r="I18" i="14"/>
  <c r="K11" i="16"/>
  <c r="J17" i="16"/>
  <c r="I13" i="14"/>
  <c r="J12" i="16"/>
  <c r="K10" i="16"/>
  <c r="I7" i="14"/>
  <c r="K13" i="16"/>
  <c r="I20" i="14"/>
  <c r="J8" i="16"/>
  <c r="K8" i="16"/>
  <c r="J18" i="16"/>
  <c r="J13" i="16"/>
  <c r="J15" i="16"/>
  <c r="I9" i="14"/>
  <c r="I14" i="14"/>
  <c r="I11" i="14"/>
  <c r="J10" i="16"/>
  <c r="I16" i="14"/>
  <c r="J9" i="16"/>
  <c r="I19" i="14"/>
  <c r="J19" i="16"/>
  <c r="I15" i="14"/>
  <c r="J12" i="9" l="1" a="1"/>
  <c r="J12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<sst xmlns="http://schemas.openxmlformats.org/spreadsheetml/2006/main" count="271" uniqueCount="152">
  <si>
    <t xml:space="preserve">Name </t>
  </si>
  <si>
    <t>Email</t>
  </si>
  <si>
    <t>Address</t>
  </si>
  <si>
    <t>Phone No</t>
  </si>
  <si>
    <t>CID1001</t>
  </si>
  <si>
    <t>CID1002</t>
  </si>
  <si>
    <t>CID1003</t>
  </si>
  <si>
    <t>CID1004</t>
  </si>
  <si>
    <t>CID1005</t>
  </si>
  <si>
    <t>CID1006</t>
  </si>
  <si>
    <t>CID1007</t>
  </si>
  <si>
    <t>CID1008</t>
  </si>
  <si>
    <t>CID1009</t>
  </si>
  <si>
    <t>CID1010</t>
  </si>
  <si>
    <t>CID1011</t>
  </si>
  <si>
    <t>CID1012</t>
  </si>
  <si>
    <t>CID1013</t>
  </si>
  <si>
    <t>CID1014</t>
  </si>
  <si>
    <t>CID1015</t>
  </si>
  <si>
    <t>CID1016</t>
  </si>
  <si>
    <t>CID1017</t>
  </si>
  <si>
    <t>CID1018</t>
  </si>
  <si>
    <t>CID1019</t>
  </si>
  <si>
    <t>CID1020</t>
  </si>
  <si>
    <t>Ali Khan</t>
  </si>
  <si>
    <t>Ahmed Raza</t>
  </si>
  <si>
    <t>Usman Tariq</t>
  </si>
  <si>
    <t>Hassan Ali</t>
  </si>
  <si>
    <t>Salman Ahmed</t>
  </si>
  <si>
    <t>Bilal Hussain</t>
  </si>
  <si>
    <t>Adeel Malik</t>
  </si>
  <si>
    <t>Farhan Iqbal</t>
  </si>
  <si>
    <t>Imran Shah</t>
  </si>
  <si>
    <t>Zubair Ahmad</t>
  </si>
  <si>
    <t>Kamran Akhtar</t>
  </si>
  <si>
    <t>Faisal Mehmood</t>
  </si>
  <si>
    <t>Shahzaib Khan</t>
  </si>
  <si>
    <t>Noman Ali</t>
  </si>
  <si>
    <t>Danish Rafiq</t>
  </si>
  <si>
    <t>Rizwan Ahmad</t>
  </si>
  <si>
    <t>Waqar Yousaf</t>
  </si>
  <si>
    <t>Saad Siddiqui</t>
  </si>
  <si>
    <t>Asad Mahmood</t>
  </si>
  <si>
    <t>Hamza Farooq</t>
  </si>
  <si>
    <t>House12,Street4,ModelTown,Lahore</t>
  </si>
  <si>
    <t>Flat8B,BlockC,Gulshan-e-Iqbal,Karachi</t>
  </si>
  <si>
    <t>Plot56,SectorF-10/2,Islamabad</t>
  </si>
  <si>
    <t>House23,Street9,JoharTown,Lahore</t>
  </si>
  <si>
    <t>Flat3A,Askari5,MalirCantt,Karachi</t>
  </si>
  <si>
    <t>House41,Street7,SatelliteTown,Rawalpindi</t>
  </si>
  <si>
    <t>Plot19,Phase6,DHA,Karachi</t>
  </si>
  <si>
    <t>House88,Street12,G-11/3,Islamabad</t>
  </si>
  <si>
    <t>Flat6C,BlockH,NorthNazimabad,Karachi</t>
  </si>
  <si>
    <t>House14,Street5,WapdaTown,Lahore</t>
  </si>
  <si>
    <t>Plot32,SectorB,BahriaTown,Lahore</t>
  </si>
  <si>
    <t>House67,Street3,PWDHousingScheme,Islamabad</t>
  </si>
  <si>
    <t>Flat10A,BlockD,PECHS,Karachi</t>
  </si>
  <si>
    <t>House9,Street11,I-8/4,Islamabad</t>
  </si>
  <si>
    <t>Plot45,Phase2,DHA,Lahore</t>
  </si>
  <si>
    <t>House21,Street6,CanttArea,Multan</t>
  </si>
  <si>
    <t>Flat4B,BlockA,UniversityTown,Peshawar</t>
  </si>
  <si>
    <t>House73,Street10,CivilLines,Faisalabad</t>
  </si>
  <si>
    <t>Plot28,SectorC,BahriaTown,Rawalpindi</t>
  </si>
  <si>
    <t>House16,Street8,SaddarArea,Hyderabad</t>
  </si>
  <si>
    <t>City Address</t>
  </si>
  <si>
    <t>HSN Code</t>
  </si>
  <si>
    <t>Product Name</t>
  </si>
  <si>
    <t>Cost</t>
  </si>
  <si>
    <t>Selling Price</t>
  </si>
  <si>
    <t>N10021</t>
  </si>
  <si>
    <t>N10022</t>
  </si>
  <si>
    <t>N10023</t>
  </si>
  <si>
    <t>N10024</t>
  </si>
  <si>
    <t>N10025</t>
  </si>
  <si>
    <t>N10026</t>
  </si>
  <si>
    <t>N10027</t>
  </si>
  <si>
    <t>N10028</t>
  </si>
  <si>
    <t>N10029</t>
  </si>
  <si>
    <t>N10030</t>
  </si>
  <si>
    <t>Smart Watch</t>
  </si>
  <si>
    <t>Wireless Printer</t>
  </si>
  <si>
    <t>Desktop</t>
  </si>
  <si>
    <t>Mouse</t>
  </si>
  <si>
    <t>Rgb Keyboard</t>
  </si>
  <si>
    <t>Camera</t>
  </si>
  <si>
    <t>Headphones</t>
  </si>
  <si>
    <t>Speakers</t>
  </si>
  <si>
    <t>Tablets</t>
  </si>
  <si>
    <t>Vendor</t>
  </si>
  <si>
    <t>Date</t>
  </si>
  <si>
    <t>Units</t>
  </si>
  <si>
    <t>Compac</t>
  </si>
  <si>
    <t>Tech99</t>
  </si>
  <si>
    <t>Customer ID.</t>
  </si>
  <si>
    <t>Stock(Units)</t>
  </si>
  <si>
    <t>Sold Units</t>
  </si>
  <si>
    <t>Stock Amount</t>
  </si>
  <si>
    <t>Vendor Name</t>
  </si>
  <si>
    <t>Phone</t>
  </si>
  <si>
    <t>GG Traders</t>
  </si>
  <si>
    <t>9212xxxxxx</t>
  </si>
  <si>
    <t>9213xxxxxx</t>
  </si>
  <si>
    <t>9214xxxxxx</t>
  </si>
  <si>
    <t>9215xxxxxx</t>
  </si>
  <si>
    <t>9216xxxxxx</t>
  </si>
  <si>
    <t>9217xxxxxx</t>
  </si>
  <si>
    <t>9218xxxxxx</t>
  </si>
  <si>
    <t>9219xxxxxx</t>
  </si>
  <si>
    <t>9220xxxxxx</t>
  </si>
  <si>
    <t>9221xxxxxx</t>
  </si>
  <si>
    <t>Faisalabad, 121101</t>
  </si>
  <si>
    <t>Faisalabad, 121102</t>
  </si>
  <si>
    <t>Faisalabad, 121103</t>
  </si>
  <si>
    <t>Lahore, Sec-15</t>
  </si>
  <si>
    <t>Lahore, Sec-16</t>
  </si>
  <si>
    <t>Lahore, Sec-17</t>
  </si>
  <si>
    <t>Lahore, Sec-18</t>
  </si>
  <si>
    <t>Karachi, 110012</t>
  </si>
  <si>
    <t>Karachi, 110013</t>
  </si>
  <si>
    <t>Karachi, 110014</t>
  </si>
  <si>
    <t>Laptop HP Elitebook i5</t>
  </si>
  <si>
    <t>Purchase Entry</t>
  </si>
  <si>
    <t>Sales Entry</t>
  </si>
  <si>
    <t>Amount</t>
  </si>
  <si>
    <t>N10031</t>
  </si>
  <si>
    <t>Airpods</t>
  </si>
  <si>
    <t>TechStar</t>
  </si>
  <si>
    <t>9222xxxxxx</t>
  </si>
  <si>
    <t>Lahore, Hall Road</t>
  </si>
  <si>
    <t>Price</t>
  </si>
  <si>
    <t>Cust ID</t>
  </si>
  <si>
    <t>Cust Name</t>
  </si>
  <si>
    <t>HP Laptop Elitebook i5</t>
  </si>
  <si>
    <t>Purchase Units</t>
  </si>
  <si>
    <t xml:space="preserve">Stock </t>
  </si>
  <si>
    <t>N10032</t>
  </si>
  <si>
    <t>Mobile Phone</t>
  </si>
  <si>
    <t>9223xxxxxx</t>
  </si>
  <si>
    <t xml:space="preserve">Count of Name </t>
  </si>
  <si>
    <t>Customers</t>
  </si>
  <si>
    <t>Count of Product Name</t>
  </si>
  <si>
    <t>Products</t>
  </si>
  <si>
    <t>Sum of Amount</t>
  </si>
  <si>
    <t>Purchase Amount</t>
  </si>
  <si>
    <t>Sale Amount</t>
  </si>
  <si>
    <t>Sum of Stock Amount</t>
  </si>
  <si>
    <t>Profit / Loss</t>
  </si>
  <si>
    <t>Row Labels</t>
  </si>
  <si>
    <t>Grand Total</t>
  </si>
  <si>
    <t>Sum of Sold Units</t>
  </si>
  <si>
    <t>Notifications</t>
  </si>
  <si>
    <t xml:space="preserve">Sum of 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</si>
</sst>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;[Red]0"/>
    <numFmt numFmtId="165" formatCode="[$-409]dd\-mmm\-yy;@"/>
    <numFmt numFmtId="166" formatCode="[$Rs-846]\ #,##0"/>
    <numFmt numFmtId="167" formatCode="[$Rs-846]\ #,##0;\-[$Rs-846]\ #,##0"/>
  </numFmts>
  <fonts count="10" x14ac:knownFonts="1"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4" borderId="1" xfId="0" applyFill="1" applyBorder="1"/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4" borderId="0" xfId="0" applyFill="1" applyAlignment="1">
      <alignment horizontal="left"/>
    </xf>
    <xf numFmtId="0" fontId="4" fillId="4" borderId="0" xfId="0" applyFont="1" applyFill="1"/>
    <xf numFmtId="0" fontId="6" fillId="4" borderId="0" xfId="1" applyFont="1" applyFill="1"/>
    <xf numFmtId="0" fontId="5" fillId="4" borderId="0" xfId="0" applyFont="1" applyFill="1"/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2" xfId="0" applyFont="1" applyFill="1" applyBorder="1"/>
    <xf numFmtId="0" fontId="4" fillId="4" borderId="2" xfId="0" applyFont="1" applyFill="1" applyBorder="1" applyAlignment="1">
      <alignment horizontal="right"/>
    </xf>
    <xf numFmtId="0" fontId="4" fillId="4" borderId="2" xfId="0" applyFont="1" applyFill="1" applyBorder="1"/>
    <xf numFmtId="0" fontId="4" fillId="4" borderId="3" xfId="0" applyFont="1" applyFill="1" applyBorder="1"/>
    <xf numFmtId="165" fontId="0" fillId="4" borderId="0" xfId="0" applyNumberFormat="1" applyFill="1"/>
    <xf numFmtId="0" fontId="0" fillId="4" borderId="2" xfId="0" applyFill="1" applyBorder="1"/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 applyAlignment="1">
      <alignment horizontal="center"/>
    </xf>
    <xf numFmtId="0" fontId="5" fillId="4" borderId="0" xfId="0" applyFont="1" applyFill="1" applyAlignment="1">
      <alignment horizontal="left"/>
    </xf>
    <xf numFmtId="0" fontId="5" fillId="0" borderId="0" xfId="0" applyFont="1"/>
    <xf numFmtId="166" fontId="0" fillId="0" borderId="0" xfId="0" applyNumberFormat="1"/>
    <xf numFmtId="167" fontId="0" fillId="0" borderId="0" xfId="2" applyNumberFormat="1" applyFont="1"/>
    <xf numFmtId="0" fontId="0" fillId="0" borderId="0" xfId="0" pivotButton="1"/>
    <xf numFmtId="0" fontId="8" fillId="4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9" fillId="6" borderId="0" xfId="0" applyFont="1" applyFill="1" applyAlignment="1">
      <alignment horizontal="center"/>
    </xf>
  </cellXfs>
  <cellStyles count="3">
    <cellStyle name="Comma" xfId="2" builtinId="3"/>
    <cellStyle name="Hyperlink" xfId="1" builtinId="8"/>
    <cellStyle name="Normal" xfId="0" builtinId="0" customBuiltin="1"/>
  </cellStyles>
  <dxfs count="53"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numFmt numFmtId="165" formatCode="[$-409]dd\-mmm\-yy;@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numFmt numFmtId="0" formatCode="General"/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>
          <bgColor theme="2" tint="-9.9978637043366805E-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fill>
        <patternFill>
          <bgColor theme="2" tint="-9.9978637043366805E-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ill>
        <patternFill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;[Red]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[Inventry Project.xlsx]Pivots!Inventory_Top 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Top</a:t>
            </a:r>
            <a:r>
              <a:rPr lang="en-US" sz="1800" b="1" baseline="0">
                <a:solidFill>
                  <a:sysClr val="windowText" lastClr="000000"/>
                </a:solidFill>
              </a:rPr>
              <a:t>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Pivots!$F$7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Pivots!$E$8:$E$13</c:f>
              <c:strCache>
                <c:ptCount val="5"/>
                <c:pt idx="0">
                  <c:v>Wireless Printer</c:v>
                </c:pt>
                <c:pt idx="1">
                  <c:v>Speakers</c:v>
                </c:pt>
                <c:pt idx="2">
                  <c:v>Tablets</c:v>
                </c:pt>
                <c:pt idx="3">
                  <c:v>Rgb Keyboard</c:v>
                </c:pt>
                <c:pt idx="4">
                  <c:v>Headphones</c:v>
                </c:pt>
              </c:strCache>
            </c:strRef>
          </c:cat>
          <c:val>
            <c:numRef>
              <c:f>Pivots!$F$8:$F$13</c:f>
              <c:numCache>
                <c:formatCode>General</c:formatCode>
                <c:ptCount val="5"/>
                <c:pt idx="0">
                  <c:v>11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6-4198-85D2-9363F1965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4560000"/>
        <c:axId val="1444554720"/>
      </c:barChart>
      <c:catAx>
        <c:axId val="14445600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554720"/>
        <c:crosses val="autoZero"/>
        <c:auto val="1"/>
        <c:lblAlgn val="ctr"/>
        <c:lblOffset val="100"/>
        <c:noMultiLvlLbl val="0"/>
      </c:catAx>
      <c:valAx>
        <c:axId val="1444554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456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[Inventry Project.xlsx]Pivots!Sales_Top 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Top</a:t>
            </a:r>
            <a:r>
              <a:rPr lang="en-US" sz="1800" b="1" baseline="0">
                <a:solidFill>
                  <a:sysClr val="windowText" lastClr="000000"/>
                </a:solidFill>
              </a:rPr>
              <a:t>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Pivots!$I$7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Pivots!$H$8:$H$13</c:f>
              <c:strCache>
                <c:ptCount val="5"/>
                <c:pt idx="0">
                  <c:v>Kamran Akhtar</c:v>
                </c:pt>
                <c:pt idx="1">
                  <c:v>Ali Khan</c:v>
                </c:pt>
                <c:pt idx="2">
                  <c:v>Zubair Ahmad</c:v>
                </c:pt>
                <c:pt idx="3">
                  <c:v>Adeel Malik</c:v>
                </c:pt>
                <c:pt idx="4">
                  <c:v>Shahzaib Khan</c:v>
                </c:pt>
              </c:strCache>
            </c:strRef>
          </c:cat>
          <c:val>
            <c:numRef>
              <c:f>Pivots!$I$8:$I$13</c:f>
              <c:numCache>
                <c:formatCode>General</c:formatCode>
                <c:ptCount val="5"/>
                <c:pt idx="0">
                  <c:v>300000</c:v>
                </c:pt>
                <c:pt idx="1">
                  <c:v>250000</c:v>
                </c:pt>
                <c:pt idx="2">
                  <c:v>225000</c:v>
                </c:pt>
                <c:pt idx="3">
                  <c:v>157500</c:v>
                </c:pt>
                <c:pt idx="4">
                  <c:v>112500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4-46BC-9E37-1CA298BEC3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588646000"/>
        <c:axId val="869586464"/>
      </c:barChart>
      <c:catAx>
        <c:axId val="158864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586464"/>
        <c:crosses val="autoZero"/>
        <c:auto val="1"/>
        <c:lblAlgn val="ctr"/>
        <c:lblOffset val="100"/>
        <c:noMultiLvlLbl val="0"/>
      </c:catAx>
      <c:valAx>
        <c:axId val="869586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864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[Inventry Project.xlsx]Pivots!PivotTable13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Stock</a:t>
            </a:r>
            <a:r>
              <a:rPr lang="en-US" sz="2400" b="1" baseline="0">
                <a:solidFill>
                  <a:sysClr val="windowText" lastClr="000000"/>
                </a:solidFill>
              </a:rPr>
              <a:t> Available</a:t>
            </a:r>
            <a:endParaRPr lang="en-US" sz="2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412257069382226E-2"/>
          <c:y val="0.12909932961820231"/>
          <c:w val="0.91248696624448011"/>
          <c:h val="0.5558052167779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Pivots!$A$17:$A$29</c:f>
              <c:strCache>
                <c:ptCount val="12"/>
                <c:pt idx="0">
                  <c:v>Smart Watch</c:v>
                </c:pt>
                <c:pt idx="1">
                  <c:v>Airpods</c:v>
                </c:pt>
                <c:pt idx="2">
                  <c:v>Headphones</c:v>
                </c:pt>
                <c:pt idx="3">
                  <c:v>Camera</c:v>
                </c:pt>
                <c:pt idx="4">
                  <c:v>Mobile Phone</c:v>
                </c:pt>
                <c:pt idx="5">
                  <c:v>Mouse</c:v>
                </c:pt>
                <c:pt idx="6">
                  <c:v>Wireless Printer</c:v>
                </c:pt>
                <c:pt idx="7">
                  <c:v>Tablets</c:v>
                </c:pt>
                <c:pt idx="8">
                  <c:v>Speakers</c:v>
                </c:pt>
                <c:pt idx="9">
                  <c:v>Desktop</c:v>
                </c:pt>
                <c:pt idx="10">
                  <c:v>HP Laptop Elitebook i5</c:v>
                </c:pt>
                <c:pt idx="11">
                  <c:v>Rgb Keyboard</c:v>
                </c:pt>
              </c:strCache>
            </c:strRef>
          </c:cat>
          <c:val>
            <c:numRef>
              <c:f>Pivots!$B$17:$B$29</c:f>
              <c:numCache>
                <c:formatCode>General</c:formatCode>
                <c:ptCount val="12"/>
                <c:pt idx="0">
                  <c:v>80</c:v>
                </c:pt>
                <c:pt idx="1">
                  <c:v>56</c:v>
                </c:pt>
                <c:pt idx="2">
                  <c:v>54</c:v>
                </c:pt>
                <c:pt idx="3">
                  <c:v>36</c:v>
                </c:pt>
                <c:pt idx="4">
                  <c:v>27</c:v>
                </c:pt>
                <c:pt idx="5">
                  <c:v>18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9</c:v>
                </c:pt>
                <c:pt idx="10">
                  <c:v>8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D-460F-99C0-DBCA838D04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3536735"/>
        <c:axId val="373535775"/>
      </c:barChart>
      <c:catAx>
        <c:axId val="37353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535775"/>
        <c:crosses val="autoZero"/>
        <c:auto val="1"/>
        <c:lblAlgn val="ctr"/>
        <c:lblOffset val="100"/>
        <c:noMultiLvlLbl val="0"/>
      </c:catAx>
      <c:valAx>
        <c:axId val="373535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53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4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Products!A1"/><Relationship Id="rId11" Type="http://schemas.openxmlformats.org/officeDocument/2006/relationships/image" Target="../media/image3.png"/><Relationship Id="rId24" Type="http://schemas.openxmlformats.org/officeDocument/2006/relationships/image" Target="../media/image16.svg"/><Relationship Id="rId5" Type="http://schemas.openxmlformats.org/officeDocument/2006/relationships/hyperlink" Target="#Vendor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28" Type="http://schemas.openxmlformats.org/officeDocument/2006/relationships/chart" Target="../charts/chart2.xml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13" Type="http://schemas.openxmlformats.org/officeDocument/2006/relationships/image" Target="../media/image21.png"/><Relationship Id="rId18" Type="http://schemas.openxmlformats.org/officeDocument/2006/relationships/image" Target="../media/image24.svg"/><Relationship Id="rId26" Type="http://schemas.openxmlformats.org/officeDocument/2006/relationships/image" Target="../media/image28.svg"/><Relationship Id="rId3" Type="http://schemas.openxmlformats.org/officeDocument/2006/relationships/hyperlink" Target="#Vendors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hyperlink" Target="#Customers!A1"/><Relationship Id="rId16" Type="http://schemas.openxmlformats.org/officeDocument/2006/relationships/image" Target="../media/image23.svg"/><Relationship Id="rId20" Type="http://schemas.openxmlformats.org/officeDocument/2006/relationships/image" Target="../media/image25.svg"/><Relationship Id="rId1" Type="http://schemas.openxmlformats.org/officeDocument/2006/relationships/hyperlink" Target="#Dashboard!A1"/><Relationship Id="rId6" Type="http://schemas.openxmlformats.org/officeDocument/2006/relationships/hyperlink" Target="#Purchase!A1"/><Relationship Id="rId11" Type="http://schemas.openxmlformats.org/officeDocument/2006/relationships/image" Target="../media/image19.png"/><Relationship Id="rId24" Type="http://schemas.openxmlformats.org/officeDocument/2006/relationships/image" Target="../media/image27.svg"/><Relationship Id="rId5" Type="http://schemas.openxmlformats.org/officeDocument/2006/relationships/hyperlink" Target="#'New Entry'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image" Target="../media/image2.svg"/><Relationship Id="rId19" Type="http://schemas.openxmlformats.org/officeDocument/2006/relationships/image" Target="../media/image11.png"/><Relationship Id="rId4" Type="http://schemas.openxmlformats.org/officeDocument/2006/relationships/hyperlink" Target="#Products!A1"/><Relationship Id="rId9" Type="http://schemas.openxmlformats.org/officeDocument/2006/relationships/image" Target="../media/image1.png"/><Relationship Id="rId14" Type="http://schemas.openxmlformats.org/officeDocument/2006/relationships/image" Target="../media/image22.svg"/><Relationship Id="rId22" Type="http://schemas.openxmlformats.org/officeDocument/2006/relationships/image" Target="../media/image26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13" Type="http://schemas.openxmlformats.org/officeDocument/2006/relationships/image" Target="../media/image5.png"/><Relationship Id="rId18" Type="http://schemas.openxmlformats.org/officeDocument/2006/relationships/image" Target="../media/image24.svg"/><Relationship Id="rId26" Type="http://schemas.openxmlformats.org/officeDocument/2006/relationships/image" Target="../media/image28.svg"/><Relationship Id="rId3" Type="http://schemas.openxmlformats.org/officeDocument/2006/relationships/hyperlink" Target="#Vendors!A1"/><Relationship Id="rId21" Type="http://schemas.openxmlformats.org/officeDocument/2006/relationships/image" Target="../media/image32.png"/><Relationship Id="rId7" Type="http://schemas.openxmlformats.org/officeDocument/2006/relationships/hyperlink" Target="#Sales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hyperlink" Target="#Customers!A1"/><Relationship Id="rId16" Type="http://schemas.openxmlformats.org/officeDocument/2006/relationships/image" Target="../media/image31.svg"/><Relationship Id="rId20" Type="http://schemas.openxmlformats.org/officeDocument/2006/relationships/image" Target="../media/image25.svg"/><Relationship Id="rId1" Type="http://schemas.openxmlformats.org/officeDocument/2006/relationships/hyperlink" Target="#Dashboard!A1"/><Relationship Id="rId6" Type="http://schemas.openxmlformats.org/officeDocument/2006/relationships/hyperlink" Target="#Purchase!A1"/><Relationship Id="rId11" Type="http://schemas.openxmlformats.org/officeDocument/2006/relationships/image" Target="../media/image19.png"/><Relationship Id="rId24" Type="http://schemas.openxmlformats.org/officeDocument/2006/relationships/image" Target="../media/image27.svg"/><Relationship Id="rId5" Type="http://schemas.openxmlformats.org/officeDocument/2006/relationships/hyperlink" Target="#'New Entry'!A1"/><Relationship Id="rId15" Type="http://schemas.openxmlformats.org/officeDocument/2006/relationships/image" Target="../media/image30.png"/><Relationship Id="rId23" Type="http://schemas.openxmlformats.org/officeDocument/2006/relationships/image" Target="../media/image15.png"/><Relationship Id="rId10" Type="http://schemas.openxmlformats.org/officeDocument/2006/relationships/image" Target="../media/image2.svg"/><Relationship Id="rId19" Type="http://schemas.openxmlformats.org/officeDocument/2006/relationships/image" Target="../media/image11.png"/><Relationship Id="rId4" Type="http://schemas.openxmlformats.org/officeDocument/2006/relationships/hyperlink" Target="#Products!A1"/><Relationship Id="rId9" Type="http://schemas.openxmlformats.org/officeDocument/2006/relationships/image" Target="../media/image1.png"/><Relationship Id="rId14" Type="http://schemas.openxmlformats.org/officeDocument/2006/relationships/image" Target="../media/image29.svg"/><Relationship Id="rId22" Type="http://schemas.openxmlformats.org/officeDocument/2006/relationships/image" Target="../media/image33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13" Type="http://schemas.openxmlformats.org/officeDocument/2006/relationships/image" Target="../media/image5.png"/><Relationship Id="rId18" Type="http://schemas.openxmlformats.org/officeDocument/2006/relationships/image" Target="../media/image35.svg"/><Relationship Id="rId26" Type="http://schemas.openxmlformats.org/officeDocument/2006/relationships/image" Target="../media/image28.svg"/><Relationship Id="rId3" Type="http://schemas.openxmlformats.org/officeDocument/2006/relationships/hyperlink" Target="#Vendors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20.svg"/><Relationship Id="rId17" Type="http://schemas.openxmlformats.org/officeDocument/2006/relationships/image" Target="../media/image34.png"/><Relationship Id="rId25" Type="http://schemas.openxmlformats.org/officeDocument/2006/relationships/image" Target="../media/image17.png"/><Relationship Id="rId2" Type="http://schemas.openxmlformats.org/officeDocument/2006/relationships/hyperlink" Target="#Customers!A1"/><Relationship Id="rId16" Type="http://schemas.openxmlformats.org/officeDocument/2006/relationships/image" Target="../media/image23.svg"/><Relationship Id="rId20" Type="http://schemas.openxmlformats.org/officeDocument/2006/relationships/image" Target="../media/image25.svg"/><Relationship Id="rId1" Type="http://schemas.openxmlformats.org/officeDocument/2006/relationships/hyperlink" Target="#Dashboard!A1"/><Relationship Id="rId6" Type="http://schemas.openxmlformats.org/officeDocument/2006/relationships/hyperlink" Target="#Purchase!A1"/><Relationship Id="rId11" Type="http://schemas.openxmlformats.org/officeDocument/2006/relationships/image" Target="../media/image19.png"/><Relationship Id="rId24" Type="http://schemas.openxmlformats.org/officeDocument/2006/relationships/image" Target="../media/image27.svg"/><Relationship Id="rId5" Type="http://schemas.openxmlformats.org/officeDocument/2006/relationships/hyperlink" Target="#'New Entry'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image" Target="../media/image2.svg"/><Relationship Id="rId19" Type="http://schemas.openxmlformats.org/officeDocument/2006/relationships/image" Target="../media/image11.png"/><Relationship Id="rId4" Type="http://schemas.openxmlformats.org/officeDocument/2006/relationships/hyperlink" Target="#Products!A1"/><Relationship Id="rId9" Type="http://schemas.openxmlformats.org/officeDocument/2006/relationships/image" Target="../media/image1.png"/><Relationship Id="rId14" Type="http://schemas.openxmlformats.org/officeDocument/2006/relationships/image" Target="../media/image29.svg"/><Relationship Id="rId22" Type="http://schemas.openxmlformats.org/officeDocument/2006/relationships/image" Target="../media/image26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13" Type="http://schemas.openxmlformats.org/officeDocument/2006/relationships/image" Target="../media/image5.png"/><Relationship Id="rId18" Type="http://schemas.openxmlformats.org/officeDocument/2006/relationships/image" Target="../media/image24.svg"/><Relationship Id="rId26" Type="http://schemas.openxmlformats.org/officeDocument/2006/relationships/image" Target="../media/image28.svg"/><Relationship Id="rId3" Type="http://schemas.openxmlformats.org/officeDocument/2006/relationships/hyperlink" Target="#Vendors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hyperlink" Target="#Customers!A1"/><Relationship Id="rId16" Type="http://schemas.openxmlformats.org/officeDocument/2006/relationships/image" Target="../media/image23.svg"/><Relationship Id="rId20" Type="http://schemas.openxmlformats.org/officeDocument/2006/relationships/image" Target="../media/image37.svg"/><Relationship Id="rId1" Type="http://schemas.openxmlformats.org/officeDocument/2006/relationships/hyperlink" Target="#Dashboard!A1"/><Relationship Id="rId6" Type="http://schemas.openxmlformats.org/officeDocument/2006/relationships/hyperlink" Target="#Purchase!A1"/><Relationship Id="rId11" Type="http://schemas.openxmlformats.org/officeDocument/2006/relationships/image" Target="../media/image19.png"/><Relationship Id="rId24" Type="http://schemas.openxmlformats.org/officeDocument/2006/relationships/image" Target="../media/image27.svg"/><Relationship Id="rId5" Type="http://schemas.openxmlformats.org/officeDocument/2006/relationships/hyperlink" Target="#'New Entry'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image" Target="../media/image2.svg"/><Relationship Id="rId19" Type="http://schemas.openxmlformats.org/officeDocument/2006/relationships/image" Target="../media/image36.png"/><Relationship Id="rId4" Type="http://schemas.openxmlformats.org/officeDocument/2006/relationships/hyperlink" Target="#Products!A1"/><Relationship Id="rId9" Type="http://schemas.openxmlformats.org/officeDocument/2006/relationships/image" Target="../media/image1.png"/><Relationship Id="rId14" Type="http://schemas.openxmlformats.org/officeDocument/2006/relationships/image" Target="../media/image29.svg"/><Relationship Id="rId22" Type="http://schemas.openxmlformats.org/officeDocument/2006/relationships/image" Target="../media/image26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13" Type="http://schemas.openxmlformats.org/officeDocument/2006/relationships/image" Target="../media/image5.png"/><Relationship Id="rId18" Type="http://schemas.openxmlformats.org/officeDocument/2006/relationships/image" Target="../media/image24.svg"/><Relationship Id="rId26" Type="http://schemas.openxmlformats.org/officeDocument/2006/relationships/image" Target="../media/image28.svg"/><Relationship Id="rId3" Type="http://schemas.openxmlformats.org/officeDocument/2006/relationships/hyperlink" Target="#Vendors!A1"/><Relationship Id="rId21" Type="http://schemas.openxmlformats.org/officeDocument/2006/relationships/image" Target="../media/image38.png"/><Relationship Id="rId7" Type="http://schemas.openxmlformats.org/officeDocument/2006/relationships/hyperlink" Target="#Sales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hyperlink" Target="#Customers!A1"/><Relationship Id="rId16" Type="http://schemas.openxmlformats.org/officeDocument/2006/relationships/image" Target="../media/image23.svg"/><Relationship Id="rId20" Type="http://schemas.openxmlformats.org/officeDocument/2006/relationships/image" Target="../media/image25.svg"/><Relationship Id="rId1" Type="http://schemas.openxmlformats.org/officeDocument/2006/relationships/hyperlink" Target="#Dashboard!A1"/><Relationship Id="rId6" Type="http://schemas.openxmlformats.org/officeDocument/2006/relationships/hyperlink" Target="#Purchase!A1"/><Relationship Id="rId11" Type="http://schemas.openxmlformats.org/officeDocument/2006/relationships/image" Target="../media/image19.png"/><Relationship Id="rId24" Type="http://schemas.openxmlformats.org/officeDocument/2006/relationships/image" Target="../media/image27.svg"/><Relationship Id="rId5" Type="http://schemas.openxmlformats.org/officeDocument/2006/relationships/hyperlink" Target="#'New Entry'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image" Target="../media/image2.svg"/><Relationship Id="rId19" Type="http://schemas.openxmlformats.org/officeDocument/2006/relationships/image" Target="../media/image11.png"/><Relationship Id="rId4" Type="http://schemas.openxmlformats.org/officeDocument/2006/relationships/hyperlink" Target="#Products!A1"/><Relationship Id="rId9" Type="http://schemas.openxmlformats.org/officeDocument/2006/relationships/image" Target="../media/image1.png"/><Relationship Id="rId14" Type="http://schemas.openxmlformats.org/officeDocument/2006/relationships/image" Target="../media/image29.svg"/><Relationship Id="rId22" Type="http://schemas.openxmlformats.org/officeDocument/2006/relationships/image" Target="../media/image39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13" Type="http://schemas.openxmlformats.org/officeDocument/2006/relationships/image" Target="../media/image5.png"/><Relationship Id="rId18" Type="http://schemas.openxmlformats.org/officeDocument/2006/relationships/image" Target="../media/image24.svg"/><Relationship Id="rId26" Type="http://schemas.openxmlformats.org/officeDocument/2006/relationships/image" Target="../media/image28.svg"/><Relationship Id="rId3" Type="http://schemas.openxmlformats.org/officeDocument/2006/relationships/hyperlink" Target="#Vendors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hyperlink" Target="#Customers!A1"/><Relationship Id="rId16" Type="http://schemas.openxmlformats.org/officeDocument/2006/relationships/image" Target="../media/image23.svg"/><Relationship Id="rId20" Type="http://schemas.openxmlformats.org/officeDocument/2006/relationships/image" Target="../media/image25.svg"/><Relationship Id="rId1" Type="http://schemas.openxmlformats.org/officeDocument/2006/relationships/hyperlink" Target="#Dashboard!A1"/><Relationship Id="rId6" Type="http://schemas.openxmlformats.org/officeDocument/2006/relationships/hyperlink" Target="#Purchase!A1"/><Relationship Id="rId11" Type="http://schemas.openxmlformats.org/officeDocument/2006/relationships/image" Target="../media/image19.png"/><Relationship Id="rId24" Type="http://schemas.openxmlformats.org/officeDocument/2006/relationships/image" Target="../media/image41.svg"/><Relationship Id="rId5" Type="http://schemas.openxmlformats.org/officeDocument/2006/relationships/hyperlink" Target="#'New Entry'!A1"/><Relationship Id="rId15" Type="http://schemas.openxmlformats.org/officeDocument/2006/relationships/image" Target="../media/image7.png"/><Relationship Id="rId23" Type="http://schemas.openxmlformats.org/officeDocument/2006/relationships/image" Target="../media/image40.png"/><Relationship Id="rId10" Type="http://schemas.openxmlformats.org/officeDocument/2006/relationships/image" Target="../media/image2.svg"/><Relationship Id="rId19" Type="http://schemas.openxmlformats.org/officeDocument/2006/relationships/image" Target="../media/image11.png"/><Relationship Id="rId4" Type="http://schemas.openxmlformats.org/officeDocument/2006/relationships/hyperlink" Target="#Products!A1"/><Relationship Id="rId9" Type="http://schemas.openxmlformats.org/officeDocument/2006/relationships/image" Target="../media/image1.png"/><Relationship Id="rId14" Type="http://schemas.openxmlformats.org/officeDocument/2006/relationships/image" Target="../media/image29.svg"/><Relationship Id="rId22" Type="http://schemas.openxmlformats.org/officeDocument/2006/relationships/image" Target="../media/image26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Inventory!A1"/><Relationship Id="rId13" Type="http://schemas.openxmlformats.org/officeDocument/2006/relationships/image" Target="../media/image5.png"/><Relationship Id="rId18" Type="http://schemas.openxmlformats.org/officeDocument/2006/relationships/image" Target="../media/image24.svg"/><Relationship Id="rId26" Type="http://schemas.openxmlformats.org/officeDocument/2006/relationships/image" Target="../media/image43.svg"/><Relationship Id="rId3" Type="http://schemas.openxmlformats.org/officeDocument/2006/relationships/hyperlink" Target="#Vendors!A1"/><Relationship Id="rId21" Type="http://schemas.openxmlformats.org/officeDocument/2006/relationships/image" Target="../media/image13.png"/><Relationship Id="rId7" Type="http://schemas.openxmlformats.org/officeDocument/2006/relationships/hyperlink" Target="#Sales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42.png"/><Relationship Id="rId2" Type="http://schemas.openxmlformats.org/officeDocument/2006/relationships/hyperlink" Target="#Customers!A1"/><Relationship Id="rId16" Type="http://schemas.openxmlformats.org/officeDocument/2006/relationships/image" Target="../media/image23.svg"/><Relationship Id="rId20" Type="http://schemas.openxmlformats.org/officeDocument/2006/relationships/image" Target="../media/image25.svg"/><Relationship Id="rId1" Type="http://schemas.openxmlformats.org/officeDocument/2006/relationships/hyperlink" Target="#Dashboard!A1"/><Relationship Id="rId6" Type="http://schemas.openxmlformats.org/officeDocument/2006/relationships/hyperlink" Target="#Purchase!A1"/><Relationship Id="rId11" Type="http://schemas.openxmlformats.org/officeDocument/2006/relationships/image" Target="../media/image19.png"/><Relationship Id="rId24" Type="http://schemas.openxmlformats.org/officeDocument/2006/relationships/image" Target="../media/image27.svg"/><Relationship Id="rId5" Type="http://schemas.openxmlformats.org/officeDocument/2006/relationships/hyperlink" Target="#'New Entry'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image" Target="../media/image2.svg"/><Relationship Id="rId19" Type="http://schemas.openxmlformats.org/officeDocument/2006/relationships/image" Target="../media/image11.png"/><Relationship Id="rId4" Type="http://schemas.openxmlformats.org/officeDocument/2006/relationships/hyperlink" Target="#Products!A1"/><Relationship Id="rId9" Type="http://schemas.openxmlformats.org/officeDocument/2006/relationships/image" Target="../media/image1.png"/><Relationship Id="rId14" Type="http://schemas.openxmlformats.org/officeDocument/2006/relationships/image" Target="../media/image29.svg"/><Relationship Id="rId22" Type="http://schemas.openxmlformats.org/officeDocument/2006/relationships/image" Target="../media/image2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650188</xdr:colOff>
      <xdr:row>1</xdr:row>
      <xdr:rowOff>29888</xdr:rowOff>
    </xdr:from>
    <xdr:to>
      <xdr:col>1</xdr:col>
      <xdr:colOff>1312905</xdr:colOff>
      <xdr:row>3</xdr:row>
      <xdr:rowOff>161554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DF8D2050-3228-4F8A-9989-FC02E53E1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2080" y="300192"/>
          <a:ext cx="662717" cy="698017"/>
        </a:xfrm>
        <a:prstGeom prst="rect">
          <a:avLst/>
        </a:prstGeom>
      </xdr:spPr>
    </xdr:pic>
    <xdr:clientData/>
  </xdr:twoCellAnchor>
  <xdr:twoCellAnchor>
    <xdr:from>
      <xdr:col>1</xdr:col>
      <xdr:colOff>38099</xdr:colOff>
      <xdr:row>3</xdr:row>
      <xdr:rowOff>220845</xdr:rowOff>
    </xdr:from>
    <xdr:to>
      <xdr:col>1</xdr:col>
      <xdr:colOff>1943615</xdr:colOff>
      <xdr:row>5</xdr:row>
      <xdr:rowOff>205946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BD607E-F066-6C6D-5013-6D9CA83CCD45}"/>
            </a:ext>
          </a:extLst>
        </xdr:cNvPr>
        <xdr:cNvSpPr/>
      </xdr:nvSpPr>
      <xdr:spPr>
        <a:xfrm>
          <a:off x="449991" y="1057500"/>
          <a:ext cx="1905516" cy="5257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Inventory</a:t>
          </a:r>
          <a:r>
            <a:rPr lang="en-US" sz="1400" b="1" baseline="0">
              <a:solidFill>
                <a:sysClr val="windowText" lastClr="000000"/>
              </a:solidFill>
            </a:rPr>
            <a:t> Management System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698402</xdr:colOff>
      <xdr:row>7</xdr:row>
      <xdr:rowOff>205663</xdr:rowOff>
    </xdr:from>
    <xdr:to>
      <xdr:col>1</xdr:col>
      <xdr:colOff>1908077</xdr:colOff>
      <xdr:row>9</xdr:row>
      <xdr:rowOff>167563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F761362-6ACE-56B6-1EE7-200E6E5EFE25}"/>
            </a:ext>
          </a:extLst>
        </xdr:cNvPr>
        <xdr:cNvSpPr/>
      </xdr:nvSpPr>
      <xdr:spPr>
        <a:xfrm>
          <a:off x="1114038" y="2058708"/>
          <a:ext cx="1209675" cy="4814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>
    <xdr:from>
      <xdr:col>1</xdr:col>
      <xdr:colOff>698402</xdr:colOff>
      <xdr:row>9</xdr:row>
      <xdr:rowOff>226770</xdr:rowOff>
    </xdr:from>
    <xdr:to>
      <xdr:col>1</xdr:col>
      <xdr:colOff>1898552</xdr:colOff>
      <xdr:row>11</xdr:row>
      <xdr:rowOff>188671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9E369EE-3E22-B721-0151-E0A4919D37B1}"/>
            </a:ext>
          </a:extLst>
        </xdr:cNvPr>
        <xdr:cNvSpPr/>
      </xdr:nvSpPr>
      <xdr:spPr>
        <a:xfrm>
          <a:off x="1114038" y="2599361"/>
          <a:ext cx="1200150" cy="6719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698402</xdr:colOff>
      <xdr:row>11</xdr:row>
      <xdr:rowOff>55238</xdr:rowOff>
    </xdr:from>
    <xdr:to>
      <xdr:col>1</xdr:col>
      <xdr:colOff>1898552</xdr:colOff>
      <xdr:row>12</xdr:row>
      <xdr:rowOff>74917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604735A-DD40-4B58-8F81-4BBC9FC11994}"/>
            </a:ext>
          </a:extLst>
        </xdr:cNvPr>
        <xdr:cNvSpPr/>
      </xdr:nvSpPr>
      <xdr:spPr>
        <a:xfrm>
          <a:off x="1114038" y="3137874"/>
          <a:ext cx="1200150" cy="4006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698402</xdr:colOff>
      <xdr:row>12</xdr:row>
      <xdr:rowOff>183368</xdr:rowOff>
    </xdr:from>
    <xdr:to>
      <xdr:col>1</xdr:col>
      <xdr:colOff>1902434</xdr:colOff>
      <xdr:row>13</xdr:row>
      <xdr:rowOff>149832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A124213-FACD-CAB4-40C6-6282BFEDE7BC}"/>
            </a:ext>
          </a:extLst>
        </xdr:cNvPr>
        <xdr:cNvSpPr/>
      </xdr:nvSpPr>
      <xdr:spPr>
        <a:xfrm>
          <a:off x="1114038" y="3647004"/>
          <a:ext cx="1204032" cy="3474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698402</xdr:colOff>
      <xdr:row>14</xdr:row>
      <xdr:rowOff>9087</xdr:rowOff>
    </xdr:from>
    <xdr:to>
      <xdr:col>1</xdr:col>
      <xdr:colOff>1879502</xdr:colOff>
      <xdr:row>15</xdr:row>
      <xdr:rowOff>32106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F0F6150-A598-EB87-489A-08BAE1C9B724}"/>
            </a:ext>
          </a:extLst>
        </xdr:cNvPr>
        <xdr:cNvSpPr/>
      </xdr:nvSpPr>
      <xdr:spPr>
        <a:xfrm>
          <a:off x="1114038" y="4234723"/>
          <a:ext cx="1181100" cy="4040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New</a:t>
          </a:r>
          <a:r>
            <a:rPr lang="en-US" sz="1400" b="0" baseline="0">
              <a:solidFill>
                <a:schemeClr val="tx1">
                  <a:lumMod val="65000"/>
                  <a:lumOff val="35000"/>
                </a:schemeClr>
              </a:solidFill>
            </a:rPr>
            <a:t> Entry</a:t>
          </a:r>
          <a:endParaRPr lang="en-US" sz="1400" b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</xdr:col>
      <xdr:colOff>698402</xdr:colOff>
      <xdr:row>15</xdr:row>
      <xdr:rowOff>190731</xdr:rowOff>
    </xdr:from>
    <xdr:to>
      <xdr:col>1</xdr:col>
      <xdr:colOff>1860452</xdr:colOff>
      <xdr:row>16</xdr:row>
      <xdr:rowOff>128427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DB7ED52-B217-FF6D-5FB9-0911DEE70F9F}"/>
            </a:ext>
          </a:extLst>
        </xdr:cNvPr>
        <xdr:cNvSpPr/>
      </xdr:nvSpPr>
      <xdr:spPr>
        <a:xfrm>
          <a:off x="1114038" y="4797367"/>
          <a:ext cx="1162050" cy="3186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698402</xdr:colOff>
      <xdr:row>16</xdr:row>
      <xdr:rowOff>301650</xdr:rowOff>
    </xdr:from>
    <xdr:to>
      <xdr:col>1</xdr:col>
      <xdr:colOff>1860452</xdr:colOff>
      <xdr:row>17</xdr:row>
      <xdr:rowOff>310365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FC564E4-D798-2669-C0F9-FB086912E40A}"/>
            </a:ext>
          </a:extLst>
        </xdr:cNvPr>
        <xdr:cNvSpPr/>
      </xdr:nvSpPr>
      <xdr:spPr>
        <a:xfrm>
          <a:off x="1114038" y="5289286"/>
          <a:ext cx="1162050" cy="3897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698402</xdr:colOff>
      <xdr:row>18</xdr:row>
      <xdr:rowOff>15706</xdr:rowOff>
    </xdr:from>
    <xdr:to>
      <xdr:col>1</xdr:col>
      <xdr:colOff>1860452</xdr:colOff>
      <xdr:row>18</xdr:row>
      <xdr:rowOff>353174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7C5CFDF-FA51-95FF-4949-ABBC33D1E82B}"/>
            </a:ext>
          </a:extLst>
        </xdr:cNvPr>
        <xdr:cNvSpPr/>
      </xdr:nvSpPr>
      <xdr:spPr>
        <a:xfrm>
          <a:off x="1114038" y="5765342"/>
          <a:ext cx="1162050" cy="3374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302453</xdr:colOff>
      <xdr:row>7</xdr:row>
      <xdr:rowOff>205969</xdr:rowOff>
    </xdr:from>
    <xdr:to>
      <xdr:col>1</xdr:col>
      <xdr:colOff>632653</xdr:colOff>
      <xdr:row>9</xdr:row>
      <xdr:rowOff>23685</xdr:rowOff>
    </xdr:to>
    <xdr:pic>
      <xdr:nvPicPr>
        <xdr:cNvPr id="12" name="Graphic 11" descr="Presentation with bar chart with solid fill">
          <a:extLst>
            <a:ext uri="{FF2B5EF4-FFF2-40B4-BE49-F238E27FC236}">
              <a16:creationId xmlns:a16="http://schemas.microsoft.com/office/drawing/2014/main" id="{333BFCC6-1A98-4A36-BE61-7CDD22B6E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14345" y="2123841"/>
          <a:ext cx="330200" cy="358324"/>
        </a:xfrm>
        <a:prstGeom prst="rect">
          <a:avLst/>
        </a:prstGeom>
      </xdr:spPr>
    </xdr:pic>
    <xdr:clientData/>
  </xdr:twoCellAnchor>
  <xdr:twoCellAnchor editAs="absolute">
    <xdr:from>
      <xdr:col>1</xdr:col>
      <xdr:colOff>328196</xdr:colOff>
      <xdr:row>9</xdr:row>
      <xdr:rowOff>251857</xdr:rowOff>
    </xdr:from>
    <xdr:to>
      <xdr:col>1</xdr:col>
      <xdr:colOff>580196</xdr:colOff>
      <xdr:row>10</xdr:row>
      <xdr:rowOff>221103</xdr:rowOff>
    </xdr:to>
    <xdr:pic>
      <xdr:nvPicPr>
        <xdr:cNvPr id="13" name="Graphic 12" descr="User with solid fill">
          <a:extLst>
            <a:ext uri="{FF2B5EF4-FFF2-40B4-BE49-F238E27FC236}">
              <a16:creationId xmlns:a16="http://schemas.microsoft.com/office/drawing/2014/main" id="{14D8763A-862C-4D16-952C-C46AAAF0D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740088" y="2710337"/>
          <a:ext cx="252000" cy="268414"/>
        </a:xfrm>
        <a:prstGeom prst="rect">
          <a:avLst/>
        </a:prstGeom>
      </xdr:spPr>
    </xdr:pic>
    <xdr:clientData/>
  </xdr:twoCellAnchor>
  <xdr:twoCellAnchor editAs="absolute">
    <xdr:from>
      <xdr:col>1</xdr:col>
      <xdr:colOff>328196</xdr:colOff>
      <xdr:row>11</xdr:row>
      <xdr:rowOff>71321</xdr:rowOff>
    </xdr:from>
    <xdr:to>
      <xdr:col>1</xdr:col>
      <xdr:colOff>580196</xdr:colOff>
      <xdr:row>11</xdr:row>
      <xdr:rowOff>329204</xdr:rowOff>
    </xdr:to>
    <xdr:pic>
      <xdr:nvPicPr>
        <xdr:cNvPr id="14" name="Graphic 13" descr="User outline">
          <a:extLst>
            <a:ext uri="{FF2B5EF4-FFF2-40B4-BE49-F238E27FC236}">
              <a16:creationId xmlns:a16="http://schemas.microsoft.com/office/drawing/2014/main" id="{D3378F49-0E95-4596-B058-53382074A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740088" y="3243590"/>
          <a:ext cx="252000" cy="268415"/>
        </a:xfrm>
        <a:prstGeom prst="rect">
          <a:avLst/>
        </a:prstGeom>
      </xdr:spPr>
    </xdr:pic>
    <xdr:clientData/>
  </xdr:twoCellAnchor>
  <xdr:twoCellAnchor editAs="absolute">
    <xdr:from>
      <xdr:col>1</xdr:col>
      <xdr:colOff>328196</xdr:colOff>
      <xdr:row>12</xdr:row>
      <xdr:rowOff>208252</xdr:rowOff>
    </xdr:from>
    <xdr:to>
      <xdr:col>1</xdr:col>
      <xdr:colOff>580196</xdr:colOff>
      <xdr:row>13</xdr:row>
      <xdr:rowOff>89911</xdr:rowOff>
    </xdr:to>
    <xdr:pic>
      <xdr:nvPicPr>
        <xdr:cNvPr id="15" name="Graphic 14" descr="Inventory outline">
          <a:extLst>
            <a:ext uri="{FF2B5EF4-FFF2-40B4-BE49-F238E27FC236}">
              <a16:creationId xmlns:a16="http://schemas.microsoft.com/office/drawing/2014/main" id="{6C1FDA07-2D74-4806-8CAC-C2DB96367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740088" y="3776812"/>
          <a:ext cx="252000" cy="267417"/>
        </a:xfrm>
        <a:prstGeom prst="rect">
          <a:avLst/>
        </a:prstGeom>
      </xdr:spPr>
    </xdr:pic>
    <xdr:clientData/>
  </xdr:twoCellAnchor>
  <xdr:twoCellAnchor editAs="absolute">
    <xdr:from>
      <xdr:col>1</xdr:col>
      <xdr:colOff>328196</xdr:colOff>
      <xdr:row>14</xdr:row>
      <xdr:rowOff>21301</xdr:rowOff>
    </xdr:from>
    <xdr:to>
      <xdr:col>1</xdr:col>
      <xdr:colOff>580196</xdr:colOff>
      <xdr:row>14</xdr:row>
      <xdr:rowOff>287720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63B4AA0B-EF03-45AE-A25F-2ED79D14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740088" y="4371909"/>
          <a:ext cx="252000" cy="276950"/>
        </a:xfrm>
        <a:prstGeom prst="rect">
          <a:avLst/>
        </a:prstGeom>
      </xdr:spPr>
    </xdr:pic>
    <xdr:clientData/>
  </xdr:twoCellAnchor>
  <xdr:twoCellAnchor editAs="absolute">
    <xdr:from>
      <xdr:col>1</xdr:col>
      <xdr:colOff>328196</xdr:colOff>
      <xdr:row>15</xdr:row>
      <xdr:rowOff>196880</xdr:rowOff>
    </xdr:from>
    <xdr:to>
      <xdr:col>1</xdr:col>
      <xdr:colOff>580196</xdr:colOff>
      <xdr:row>16</xdr:row>
      <xdr:rowOff>91245</xdr:rowOff>
    </xdr:to>
    <xdr:pic>
      <xdr:nvPicPr>
        <xdr:cNvPr id="17" name="Graphic 16" descr="Receipt with solid fill">
          <a:extLst>
            <a:ext uri="{FF2B5EF4-FFF2-40B4-BE49-F238E27FC236}">
              <a16:creationId xmlns:a16="http://schemas.microsoft.com/office/drawing/2014/main" id="{71F6FE23-75FE-49B7-B75C-7055DBE11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740088" y="4943778"/>
          <a:ext cx="252000" cy="280124"/>
        </a:xfrm>
        <a:prstGeom prst="rect">
          <a:avLst/>
        </a:prstGeom>
      </xdr:spPr>
    </xdr:pic>
    <xdr:clientData/>
  </xdr:twoCellAnchor>
  <xdr:twoCellAnchor editAs="absolute">
    <xdr:from>
      <xdr:col>1</xdr:col>
      <xdr:colOff>328196</xdr:colOff>
      <xdr:row>16</xdr:row>
      <xdr:rowOff>326019</xdr:rowOff>
    </xdr:from>
    <xdr:to>
      <xdr:col>1</xdr:col>
      <xdr:colOff>580196</xdr:colOff>
      <xdr:row>17</xdr:row>
      <xdr:rowOff>206200</xdr:rowOff>
    </xdr:to>
    <xdr:pic>
      <xdr:nvPicPr>
        <xdr:cNvPr id="18" name="Graphic 17" descr="Register with solid fill">
          <a:extLst>
            <a:ext uri="{FF2B5EF4-FFF2-40B4-BE49-F238E27FC236}">
              <a16:creationId xmlns:a16="http://schemas.microsoft.com/office/drawing/2014/main" id="{63B59779-948C-4B34-8DEF-A0C08FE82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740088" y="5469207"/>
          <a:ext cx="252000" cy="265939"/>
        </a:xfrm>
        <a:prstGeom prst="rect">
          <a:avLst/>
        </a:prstGeom>
      </xdr:spPr>
    </xdr:pic>
    <xdr:clientData/>
  </xdr:twoCellAnchor>
  <xdr:twoCellAnchor editAs="absolute">
    <xdr:from>
      <xdr:col>1</xdr:col>
      <xdr:colOff>328196</xdr:colOff>
      <xdr:row>18</xdr:row>
      <xdr:rowOff>36129</xdr:rowOff>
    </xdr:from>
    <xdr:to>
      <xdr:col>1</xdr:col>
      <xdr:colOff>580196</xdr:colOff>
      <xdr:row>18</xdr:row>
      <xdr:rowOff>292262</xdr:rowOff>
    </xdr:to>
    <xdr:pic>
      <xdr:nvPicPr>
        <xdr:cNvPr id="19" name="Graphic 18" descr="Clipboard Partially Checked with solid fill">
          <a:extLst>
            <a:ext uri="{FF2B5EF4-FFF2-40B4-BE49-F238E27FC236}">
              <a16:creationId xmlns:a16="http://schemas.microsoft.com/office/drawing/2014/main" id="{83A06150-F9DD-4967-9C50-3BD62B83A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740088" y="5940302"/>
          <a:ext cx="252000" cy="266664"/>
        </a:xfrm>
        <a:prstGeom prst="rect">
          <a:avLst/>
        </a:prstGeom>
      </xdr:spPr>
    </xdr:pic>
    <xdr:clientData/>
  </xdr:twoCellAnchor>
  <xdr:twoCellAnchor editAs="absolute">
    <xdr:from>
      <xdr:col>2</xdr:col>
      <xdr:colOff>418523</xdr:colOff>
      <xdr:row>1</xdr:row>
      <xdr:rowOff>38615</xdr:rowOff>
    </xdr:from>
    <xdr:to>
      <xdr:col>14</xdr:col>
      <xdr:colOff>35968</xdr:colOff>
      <xdr:row>3</xdr:row>
      <xdr:rowOff>218818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C88647B-9F8D-36D5-46CE-B8C67E79BCDE}"/>
            </a:ext>
          </a:extLst>
        </xdr:cNvPr>
        <xdr:cNvSpPr/>
      </xdr:nvSpPr>
      <xdr:spPr>
        <a:xfrm>
          <a:off x="2799773" y="298388"/>
          <a:ext cx="15088354" cy="728612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 b="1" baseline="0">
              <a:solidFill>
                <a:sysClr val="windowText" lastClr="000000"/>
              </a:solidFill>
            </a:rPr>
            <a:t>   </a:t>
          </a:r>
          <a:r>
            <a:rPr lang="en-US" sz="2800" b="1">
              <a:solidFill>
                <a:sysClr val="windowText" lastClr="000000"/>
              </a:solidFill>
            </a:rPr>
            <a:t>Inventory</a:t>
          </a:r>
          <a:r>
            <a:rPr lang="en-US" sz="2800" b="1" baseline="0">
              <a:solidFill>
                <a:sysClr val="windowText" lastClr="000000"/>
              </a:solidFill>
            </a:rPr>
            <a:t> Management System</a:t>
          </a:r>
          <a:endParaRPr 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1</xdr:colOff>
      <xdr:row>5</xdr:row>
      <xdr:rowOff>13049</xdr:rowOff>
    </xdr:from>
    <xdr:to>
      <xdr:col>4</xdr:col>
      <xdr:colOff>404487</xdr:colOff>
      <xdr:row>9</xdr:row>
      <xdr:rowOff>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44B9136-A425-DE65-DD08-3C6AC2F6F9D9}"/>
            </a:ext>
          </a:extLst>
        </xdr:cNvPr>
        <xdr:cNvSpPr/>
      </xdr:nvSpPr>
      <xdr:spPr>
        <a:xfrm>
          <a:off x="2961885" y="1356987"/>
          <a:ext cx="2257294" cy="1030788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    </a:t>
          </a:r>
          <a:r>
            <a:rPr lang="en-US" sz="2400" baseline="0">
              <a:solidFill>
                <a:sysClr val="windowText" lastClr="000000"/>
              </a:solidFill>
            </a:rPr>
            <a:t>       </a:t>
          </a:r>
          <a:r>
            <a:rPr lang="en-US" sz="2000" b="0" baseline="0">
              <a:solidFill>
                <a:sysClr val="windowText" lastClr="000000"/>
              </a:solidFill>
            </a:rPr>
            <a:t>Customers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13048</xdr:colOff>
      <xdr:row>5</xdr:row>
      <xdr:rowOff>13049</xdr:rowOff>
    </xdr:from>
    <xdr:to>
      <xdr:col>3</xdr:col>
      <xdr:colOff>287056</xdr:colOff>
      <xdr:row>9</xdr:row>
      <xdr:rowOff>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B2A2D126-65BA-C660-9191-219CFF2F08D4}"/>
            </a:ext>
          </a:extLst>
        </xdr:cNvPr>
        <xdr:cNvSpPr/>
      </xdr:nvSpPr>
      <xdr:spPr>
        <a:xfrm>
          <a:off x="2974932" y="1356987"/>
          <a:ext cx="274008" cy="103078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4</xdr:col>
      <xdr:colOff>730686</xdr:colOff>
      <xdr:row>5</xdr:row>
      <xdr:rowOff>13049</xdr:rowOff>
    </xdr:from>
    <xdr:to>
      <xdr:col>5</xdr:col>
      <xdr:colOff>1278699</xdr:colOff>
      <xdr:row>9</xdr:row>
      <xdr:rowOff>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6881A3F-C796-34DC-E701-DF3F8B6FB220}"/>
            </a:ext>
          </a:extLst>
        </xdr:cNvPr>
        <xdr:cNvSpPr/>
      </xdr:nvSpPr>
      <xdr:spPr>
        <a:xfrm>
          <a:off x="5545378" y="1356987"/>
          <a:ext cx="2257294" cy="1030788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    </a:t>
          </a:r>
          <a:r>
            <a:rPr lang="en-US" sz="2400" baseline="0">
              <a:solidFill>
                <a:sysClr val="windowText" lastClr="000000"/>
              </a:solidFill>
            </a:rPr>
            <a:t>       </a:t>
          </a:r>
          <a:r>
            <a:rPr lang="en-US" sz="2000" b="0" baseline="0">
              <a:solidFill>
                <a:sysClr val="windowText" lastClr="000000"/>
              </a:solidFill>
            </a:rPr>
            <a:t>Products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743733</xdr:colOff>
      <xdr:row>5</xdr:row>
      <xdr:rowOff>13049</xdr:rowOff>
    </xdr:from>
    <xdr:to>
      <xdr:col>4</xdr:col>
      <xdr:colOff>1017741</xdr:colOff>
      <xdr:row>9</xdr:row>
      <xdr:rowOff>1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DCCAF3B-96F3-C686-57D4-58BC41420B52}"/>
            </a:ext>
          </a:extLst>
        </xdr:cNvPr>
        <xdr:cNvSpPr/>
      </xdr:nvSpPr>
      <xdr:spPr>
        <a:xfrm>
          <a:off x="5558425" y="1356987"/>
          <a:ext cx="274008" cy="103078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1526611</xdr:colOff>
      <xdr:row>5</xdr:row>
      <xdr:rowOff>13049</xdr:rowOff>
    </xdr:from>
    <xdr:to>
      <xdr:col>7</xdr:col>
      <xdr:colOff>469727</xdr:colOff>
      <xdr:row>9</xdr:row>
      <xdr:rowOff>1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8E848E2-EDFE-1D16-7608-C97E8A7EC82D}"/>
            </a:ext>
          </a:extLst>
        </xdr:cNvPr>
        <xdr:cNvSpPr/>
      </xdr:nvSpPr>
      <xdr:spPr>
        <a:xfrm>
          <a:off x="8050584" y="1356987"/>
          <a:ext cx="2257294" cy="1030788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aseline="0"/>
            <a:t>    </a:t>
          </a:r>
          <a:r>
            <a:rPr lang="en-US" sz="2000" baseline="0">
              <a:solidFill>
                <a:sysClr val="windowText" lastClr="000000"/>
              </a:solidFill>
            </a:rPr>
            <a:t>    </a:t>
          </a:r>
          <a:r>
            <a:rPr lang="en-US" sz="2000" b="0" baseline="0">
              <a:solidFill>
                <a:sysClr val="windowText" lastClr="000000"/>
              </a:solidFill>
            </a:rPr>
            <a:t>Purchase Amt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5</xdr:col>
      <xdr:colOff>1539658</xdr:colOff>
      <xdr:row>5</xdr:row>
      <xdr:rowOff>13049</xdr:rowOff>
    </xdr:from>
    <xdr:to>
      <xdr:col>6</xdr:col>
      <xdr:colOff>143529</xdr:colOff>
      <xdr:row>9</xdr:row>
      <xdr:rowOff>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27C8A18-CE5B-89CC-1AC4-0E61773FE180}"/>
            </a:ext>
          </a:extLst>
        </xdr:cNvPr>
        <xdr:cNvSpPr/>
      </xdr:nvSpPr>
      <xdr:spPr>
        <a:xfrm>
          <a:off x="8063631" y="1356987"/>
          <a:ext cx="274008" cy="1030788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7</xdr:col>
      <xdr:colOff>717639</xdr:colOff>
      <xdr:row>5</xdr:row>
      <xdr:rowOff>13049</xdr:rowOff>
    </xdr:from>
    <xdr:to>
      <xdr:col>9</xdr:col>
      <xdr:colOff>441841</xdr:colOff>
      <xdr:row>9</xdr:row>
      <xdr:rowOff>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D1F5ABAF-E3E5-56CC-421D-28737B7B842C}"/>
            </a:ext>
          </a:extLst>
        </xdr:cNvPr>
        <xdr:cNvSpPr/>
      </xdr:nvSpPr>
      <xdr:spPr>
        <a:xfrm>
          <a:off x="10555790" y="1356987"/>
          <a:ext cx="2257294" cy="1030788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    </a:t>
          </a:r>
          <a:r>
            <a:rPr lang="en-US" sz="2400" baseline="0">
              <a:solidFill>
                <a:sysClr val="windowText" lastClr="000000"/>
              </a:solidFill>
            </a:rPr>
            <a:t>      </a:t>
          </a:r>
          <a:r>
            <a:rPr lang="en-US" sz="2000" b="0" baseline="0">
              <a:solidFill>
                <a:sysClr val="windowText" lastClr="000000"/>
              </a:solidFill>
            </a:rPr>
            <a:t>Sales Amt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730686</xdr:colOff>
      <xdr:row>5</xdr:row>
      <xdr:rowOff>13049</xdr:rowOff>
    </xdr:from>
    <xdr:to>
      <xdr:col>7</xdr:col>
      <xdr:colOff>1004694</xdr:colOff>
      <xdr:row>9</xdr:row>
      <xdr:rowOff>1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0535968-EB1B-6EEB-2DDC-7F140ADDF4D4}"/>
            </a:ext>
          </a:extLst>
        </xdr:cNvPr>
        <xdr:cNvSpPr/>
      </xdr:nvSpPr>
      <xdr:spPr>
        <a:xfrm>
          <a:off x="10568837" y="1356987"/>
          <a:ext cx="274008" cy="1030788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9</xdr:col>
      <xdr:colOff>689752</xdr:colOff>
      <xdr:row>5</xdr:row>
      <xdr:rowOff>13049</xdr:rowOff>
    </xdr:from>
    <xdr:to>
      <xdr:col>11</xdr:col>
      <xdr:colOff>1116183</xdr:colOff>
      <xdr:row>9</xdr:row>
      <xdr:rowOff>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23B1BB96-6D67-250C-47E9-BCBD1ABB7DF5}"/>
            </a:ext>
          </a:extLst>
        </xdr:cNvPr>
        <xdr:cNvSpPr/>
      </xdr:nvSpPr>
      <xdr:spPr>
        <a:xfrm>
          <a:off x="13060995" y="1356987"/>
          <a:ext cx="2257294" cy="1030788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    </a:t>
          </a:r>
          <a:r>
            <a:rPr lang="en-US" sz="2400" baseline="0">
              <a:solidFill>
                <a:sysClr val="windowText" lastClr="000000"/>
              </a:solidFill>
            </a:rPr>
            <a:t>      </a:t>
          </a:r>
          <a:r>
            <a:rPr lang="en-US" sz="2000" b="0" baseline="0">
              <a:solidFill>
                <a:sysClr val="windowText" lastClr="000000"/>
              </a:solidFill>
            </a:rPr>
            <a:t>Stock Amt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702799</xdr:colOff>
      <xdr:row>5</xdr:row>
      <xdr:rowOff>13049</xdr:rowOff>
    </xdr:from>
    <xdr:to>
      <xdr:col>10</xdr:col>
      <xdr:colOff>63451</xdr:colOff>
      <xdr:row>9</xdr:row>
      <xdr:rowOff>1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984DC23E-9514-1BCB-7806-86D88C943C5E}"/>
            </a:ext>
          </a:extLst>
        </xdr:cNvPr>
        <xdr:cNvSpPr/>
      </xdr:nvSpPr>
      <xdr:spPr>
        <a:xfrm>
          <a:off x="13074042" y="1356987"/>
          <a:ext cx="274008" cy="1030788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12</xdr:col>
      <xdr:colOff>130471</xdr:colOff>
      <xdr:row>5</xdr:row>
      <xdr:rowOff>13049</xdr:rowOff>
    </xdr:from>
    <xdr:to>
      <xdr:col>14</xdr:col>
      <xdr:colOff>22923</xdr:colOff>
      <xdr:row>9</xdr:row>
      <xdr:rowOff>1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2756113F-657C-A949-27AC-6E702A4DFE31}"/>
            </a:ext>
          </a:extLst>
        </xdr:cNvPr>
        <xdr:cNvSpPr/>
      </xdr:nvSpPr>
      <xdr:spPr>
        <a:xfrm>
          <a:off x="15631441" y="1356987"/>
          <a:ext cx="2257294" cy="1030788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    </a:t>
          </a:r>
          <a:r>
            <a:rPr lang="en-US" sz="2400" baseline="0">
              <a:solidFill>
                <a:sysClr val="windowText" lastClr="000000"/>
              </a:solidFill>
            </a:rPr>
            <a:t>      </a:t>
          </a:r>
          <a:r>
            <a:rPr lang="en-US" sz="2000" b="0" baseline="0">
              <a:solidFill>
                <a:sysClr val="windowText" lastClr="000000"/>
              </a:solidFill>
            </a:rPr>
            <a:t>Profit / Loss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12</xdr:col>
      <xdr:colOff>143518</xdr:colOff>
      <xdr:row>5</xdr:row>
      <xdr:rowOff>13049</xdr:rowOff>
    </xdr:from>
    <xdr:to>
      <xdr:col>12</xdr:col>
      <xdr:colOff>417526</xdr:colOff>
      <xdr:row>9</xdr:row>
      <xdr:rowOff>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52649042-E786-2721-B08E-5491823C0F50}"/>
            </a:ext>
          </a:extLst>
        </xdr:cNvPr>
        <xdr:cNvSpPr/>
      </xdr:nvSpPr>
      <xdr:spPr>
        <a:xfrm>
          <a:off x="15644488" y="1356987"/>
          <a:ext cx="274008" cy="1030788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3</xdr:col>
      <xdr:colOff>691541</xdr:colOff>
      <xdr:row>6</xdr:row>
      <xdr:rowOff>195720</xdr:rowOff>
    </xdr:from>
    <xdr:to>
      <xdr:col>3</xdr:col>
      <xdr:colOff>1565753</xdr:colOff>
      <xdr:row>8</xdr:row>
      <xdr:rowOff>156576</xdr:rowOff>
    </xdr:to>
    <xdr:sp macro="" textlink="Pivots!C4">
      <xdr:nvSpPr>
        <xdr:cNvPr id="49" name="Rectangle 48">
          <a:extLst>
            <a:ext uri="{FF2B5EF4-FFF2-40B4-BE49-F238E27FC236}">
              <a16:creationId xmlns:a16="http://schemas.microsoft.com/office/drawing/2014/main" id="{E341013B-21D1-EE9E-C4F9-187F5C285700}"/>
            </a:ext>
          </a:extLst>
        </xdr:cNvPr>
        <xdr:cNvSpPr/>
      </xdr:nvSpPr>
      <xdr:spPr>
        <a:xfrm>
          <a:off x="3653425" y="1800617"/>
          <a:ext cx="874212" cy="4827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4EDFE68-75B3-4679-8CB5-6998233C6A33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20</a:t>
          </a:fld>
          <a:endParaRPr lang="en-US" sz="1600" b="1"/>
        </a:p>
      </xdr:txBody>
    </xdr:sp>
    <xdr:clientData/>
  </xdr:twoCellAnchor>
  <xdr:twoCellAnchor editAs="absolute">
    <xdr:from>
      <xdr:col>4</xdr:col>
      <xdr:colOff>1422227</xdr:colOff>
      <xdr:row>6</xdr:row>
      <xdr:rowOff>195720</xdr:rowOff>
    </xdr:from>
    <xdr:to>
      <xdr:col>5</xdr:col>
      <xdr:colOff>587158</xdr:colOff>
      <xdr:row>8</xdr:row>
      <xdr:rowOff>156576</xdr:rowOff>
    </xdr:to>
    <xdr:sp macro="" textlink="Pivots!C7">
      <xdr:nvSpPr>
        <xdr:cNvPr id="50" name="Rectangle 49">
          <a:extLst>
            <a:ext uri="{FF2B5EF4-FFF2-40B4-BE49-F238E27FC236}">
              <a16:creationId xmlns:a16="http://schemas.microsoft.com/office/drawing/2014/main" id="{834ED372-468C-2FA0-59AC-53E09E9A66EC}"/>
            </a:ext>
          </a:extLst>
        </xdr:cNvPr>
        <xdr:cNvSpPr/>
      </xdr:nvSpPr>
      <xdr:spPr>
        <a:xfrm>
          <a:off x="6236919" y="1800617"/>
          <a:ext cx="874212" cy="4827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84EEBEA-A7FF-44C7-B8B7-239991E4749B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12</a:t>
          </a:fld>
          <a:endParaRPr lang="en-US" sz="2400" b="1"/>
        </a:p>
      </xdr:txBody>
    </xdr:sp>
    <xdr:clientData/>
  </xdr:twoCellAnchor>
  <xdr:twoCellAnchor editAs="absolute">
    <xdr:from>
      <xdr:col>6</xdr:col>
      <xdr:colOff>190500</xdr:colOff>
      <xdr:row>6</xdr:row>
      <xdr:rowOff>195720</xdr:rowOff>
    </xdr:from>
    <xdr:to>
      <xdr:col>7</xdr:col>
      <xdr:colOff>428626</xdr:colOff>
      <xdr:row>8</xdr:row>
      <xdr:rowOff>156576</xdr:rowOff>
    </xdr:to>
    <xdr:sp macro="" textlink="Pivots!C10">
      <xdr:nvSpPr>
        <xdr:cNvPr id="51" name="Rectangle 50">
          <a:extLst>
            <a:ext uri="{FF2B5EF4-FFF2-40B4-BE49-F238E27FC236}">
              <a16:creationId xmlns:a16="http://schemas.microsoft.com/office/drawing/2014/main" id="{3C612DE2-A7D4-171D-C9AC-F40D0E66834F}"/>
            </a:ext>
          </a:extLst>
        </xdr:cNvPr>
        <xdr:cNvSpPr/>
      </xdr:nvSpPr>
      <xdr:spPr>
        <a:xfrm>
          <a:off x="8397875" y="1846720"/>
          <a:ext cx="1873251" cy="50060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50DE418-123D-4CE1-888A-114982801007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Rs 4,603,500</a:t>
          </a:fld>
          <a:endParaRPr lang="en-US" sz="2400" b="1"/>
        </a:p>
      </xdr:txBody>
    </xdr:sp>
    <xdr:clientData/>
  </xdr:twoCellAnchor>
  <xdr:twoCellAnchor editAs="absolute">
    <xdr:from>
      <xdr:col>7</xdr:col>
      <xdr:colOff>1109075</xdr:colOff>
      <xdr:row>6</xdr:row>
      <xdr:rowOff>195720</xdr:rowOff>
    </xdr:from>
    <xdr:to>
      <xdr:col>9</xdr:col>
      <xdr:colOff>376599</xdr:colOff>
      <xdr:row>8</xdr:row>
      <xdr:rowOff>156576</xdr:rowOff>
    </xdr:to>
    <xdr:sp macro="" textlink="Pivots!G2">
      <xdr:nvSpPr>
        <xdr:cNvPr id="52" name="Rectangle 51">
          <a:extLst>
            <a:ext uri="{FF2B5EF4-FFF2-40B4-BE49-F238E27FC236}">
              <a16:creationId xmlns:a16="http://schemas.microsoft.com/office/drawing/2014/main" id="{B4FC3095-9CE2-4C8C-F005-EEF3EC3483BC}"/>
            </a:ext>
          </a:extLst>
        </xdr:cNvPr>
        <xdr:cNvSpPr/>
      </xdr:nvSpPr>
      <xdr:spPr>
        <a:xfrm>
          <a:off x="10947226" y="1800617"/>
          <a:ext cx="1800616" cy="4827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90B40F3-8920-4056-A4B2-E769EBC92B3E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Rs 1,283,875</a:t>
          </a:fld>
          <a:endParaRPr lang="en-US" sz="2400" b="1"/>
        </a:p>
      </xdr:txBody>
    </xdr:sp>
    <xdr:clientData/>
  </xdr:twoCellAnchor>
  <xdr:twoCellAnchor editAs="absolute">
    <xdr:from>
      <xdr:col>10</xdr:col>
      <xdr:colOff>154782</xdr:colOff>
      <xdr:row>6</xdr:row>
      <xdr:rowOff>195720</xdr:rowOff>
    </xdr:from>
    <xdr:to>
      <xdr:col>11</xdr:col>
      <xdr:colOff>1090086</xdr:colOff>
      <xdr:row>8</xdr:row>
      <xdr:rowOff>156576</xdr:rowOff>
    </xdr:to>
    <xdr:sp macro="" textlink="Pivots!C14">
      <xdr:nvSpPr>
        <xdr:cNvPr id="53" name="Rectangle 52">
          <a:extLst>
            <a:ext uri="{FF2B5EF4-FFF2-40B4-BE49-F238E27FC236}">
              <a16:creationId xmlns:a16="http://schemas.microsoft.com/office/drawing/2014/main" id="{AE1B52A3-8D18-21D8-A859-F97A4C712A6D}"/>
            </a:ext>
          </a:extLst>
        </xdr:cNvPr>
        <xdr:cNvSpPr/>
      </xdr:nvSpPr>
      <xdr:spPr>
        <a:xfrm>
          <a:off x="13439381" y="1800617"/>
          <a:ext cx="1852811" cy="4827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AD4D5C5-938E-4F36-A796-D3B656F70526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Rs 3,576,400</a:t>
          </a:fld>
          <a:endParaRPr lang="en-US" sz="2400" b="1"/>
        </a:p>
      </xdr:txBody>
    </xdr:sp>
    <xdr:clientData/>
  </xdr:twoCellAnchor>
  <xdr:twoCellAnchor editAs="absolute">
    <xdr:from>
      <xdr:col>12</xdr:col>
      <xdr:colOff>609089</xdr:colOff>
      <xdr:row>6</xdr:row>
      <xdr:rowOff>195720</xdr:rowOff>
    </xdr:from>
    <xdr:to>
      <xdr:col>13</xdr:col>
      <xdr:colOff>1371023</xdr:colOff>
      <xdr:row>8</xdr:row>
      <xdr:rowOff>156576</xdr:rowOff>
    </xdr:to>
    <xdr:sp macro="" textlink="Pivots!E5">
      <xdr:nvSpPr>
        <xdr:cNvPr id="54" name="Rectangle 53">
          <a:extLst>
            <a:ext uri="{FF2B5EF4-FFF2-40B4-BE49-F238E27FC236}">
              <a16:creationId xmlns:a16="http://schemas.microsoft.com/office/drawing/2014/main" id="{A1C968A1-1EEC-5CAE-C4CC-C48AB9E9140A}"/>
            </a:ext>
          </a:extLst>
        </xdr:cNvPr>
        <xdr:cNvSpPr/>
      </xdr:nvSpPr>
      <xdr:spPr>
        <a:xfrm>
          <a:off x="16108862" y="1783220"/>
          <a:ext cx="1671138" cy="4804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15A38C4-65AF-4A92-95A8-BE82BB82E237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Rs 256,775</a:t>
          </a:fld>
          <a:endParaRPr lang="en-US" sz="3600" b="1"/>
        </a:p>
      </xdr:txBody>
    </xdr:sp>
    <xdr:clientData/>
  </xdr:twoCellAnchor>
  <xdr:twoCellAnchor>
    <xdr:from>
      <xdr:col>2</xdr:col>
      <xdr:colOff>418524</xdr:colOff>
      <xdr:row>10</xdr:row>
      <xdr:rowOff>0</xdr:rowOff>
    </xdr:from>
    <xdr:to>
      <xdr:col>5</xdr:col>
      <xdr:colOff>821172</xdr:colOff>
      <xdr:row>18</xdr:row>
      <xdr:rowOff>115455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A8F1B24D-7728-490E-9D98-12D801586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988579</xdr:colOff>
      <xdr:row>10</xdr:row>
      <xdr:rowOff>0</xdr:rowOff>
    </xdr:from>
    <xdr:to>
      <xdr:col>8</xdr:col>
      <xdr:colOff>624898</xdr:colOff>
      <xdr:row>18</xdr:row>
      <xdr:rowOff>129886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6D5FD9D7-AD53-4EDB-8CE9-F208A0D17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</xdr:col>
      <xdr:colOff>404092</xdr:colOff>
      <xdr:row>18</xdr:row>
      <xdr:rowOff>216478</xdr:rowOff>
    </xdr:from>
    <xdr:to>
      <xdr:col>8</xdr:col>
      <xdr:colOff>620569</xdr:colOff>
      <xdr:row>27</xdr:row>
      <xdr:rowOff>367631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5847C769-AE1C-4ED4-A175-16FDA223D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373640</xdr:colOff>
      <xdr:row>3</xdr:row>
      <xdr:rowOff>158534</xdr:rowOff>
    </xdr:from>
    <xdr:to>
      <xdr:col>2</xdr:col>
      <xdr:colOff>21649</xdr:colOff>
      <xdr:row>5</xdr:row>
      <xdr:rowOff>205653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F8A42CA-13BE-48EE-BA4B-012CF4F32297}"/>
            </a:ext>
          </a:extLst>
        </xdr:cNvPr>
        <xdr:cNvSpPr/>
      </xdr:nvSpPr>
      <xdr:spPr>
        <a:xfrm>
          <a:off x="373640" y="970324"/>
          <a:ext cx="1856077" cy="588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Inventory</a:t>
          </a:r>
          <a:r>
            <a:rPr lang="en-US" sz="1400" b="1" baseline="0">
              <a:solidFill>
                <a:sysClr val="windowText" lastClr="000000"/>
              </a:solidFill>
            </a:rPr>
            <a:t> Management System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550671</xdr:colOff>
      <xdr:row>6</xdr:row>
      <xdr:rowOff>254809</xdr:rowOff>
    </xdr:from>
    <xdr:to>
      <xdr:col>1</xdr:col>
      <xdr:colOff>1760346</xdr:colOff>
      <xdr:row>8</xdr:row>
      <xdr:rowOff>216709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8CBE51-CEFC-4D65-8218-01C6B850E981}"/>
            </a:ext>
          </a:extLst>
        </xdr:cNvPr>
        <xdr:cNvSpPr/>
      </xdr:nvSpPr>
      <xdr:spPr>
        <a:xfrm>
          <a:off x="961978" y="1878389"/>
          <a:ext cx="1209675" cy="503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550671</xdr:colOff>
      <xdr:row>9</xdr:row>
      <xdr:rowOff>5320</xdr:rowOff>
    </xdr:from>
    <xdr:to>
      <xdr:col>1</xdr:col>
      <xdr:colOff>1750821</xdr:colOff>
      <xdr:row>10</xdr:row>
      <xdr:rowOff>237817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697FD0-9E52-4A72-A60D-DC9BE9EF74B1}"/>
            </a:ext>
          </a:extLst>
        </xdr:cNvPr>
        <xdr:cNvSpPr/>
      </xdr:nvSpPr>
      <xdr:spPr>
        <a:xfrm>
          <a:off x="961978" y="2440689"/>
          <a:ext cx="1200150" cy="5030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>
    <xdr:from>
      <xdr:col>1</xdr:col>
      <xdr:colOff>550671</xdr:colOff>
      <xdr:row>11</xdr:row>
      <xdr:rowOff>26427</xdr:rowOff>
    </xdr:from>
    <xdr:to>
      <xdr:col>1</xdr:col>
      <xdr:colOff>1750821</xdr:colOff>
      <xdr:row>12</xdr:row>
      <xdr:rowOff>258925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27DAB46-AD88-42ED-8D0D-246E3CEB50B5}"/>
            </a:ext>
          </a:extLst>
        </xdr:cNvPr>
        <xdr:cNvSpPr/>
      </xdr:nvSpPr>
      <xdr:spPr>
        <a:xfrm>
          <a:off x="961978" y="3002990"/>
          <a:ext cx="1200150" cy="5030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550671</xdr:colOff>
      <xdr:row>13</xdr:row>
      <xdr:rowOff>47535</xdr:rowOff>
    </xdr:from>
    <xdr:to>
      <xdr:col>1</xdr:col>
      <xdr:colOff>1760346</xdr:colOff>
      <xdr:row>15</xdr:row>
      <xdr:rowOff>9436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5E0AA9-5928-40CE-822A-7D89B02DA398}"/>
            </a:ext>
          </a:extLst>
        </xdr:cNvPr>
        <xdr:cNvSpPr/>
      </xdr:nvSpPr>
      <xdr:spPr>
        <a:xfrm>
          <a:off x="961978" y="3565291"/>
          <a:ext cx="1209675" cy="5030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550671</xdr:colOff>
      <xdr:row>15</xdr:row>
      <xdr:rowOff>68643</xdr:rowOff>
    </xdr:from>
    <xdr:to>
      <xdr:col>1</xdr:col>
      <xdr:colOff>1731771</xdr:colOff>
      <xdr:row>17</xdr:row>
      <xdr:rowOff>30545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5821CBB-182B-49C2-B378-3B957B3CF9AD}"/>
            </a:ext>
          </a:extLst>
        </xdr:cNvPr>
        <xdr:cNvSpPr/>
      </xdr:nvSpPr>
      <xdr:spPr>
        <a:xfrm>
          <a:off x="961978" y="4127592"/>
          <a:ext cx="1181100" cy="5030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New</a:t>
          </a:r>
          <a:r>
            <a:rPr lang="en-US" sz="1400" b="0" baseline="0">
              <a:solidFill>
                <a:schemeClr val="tx1">
                  <a:lumMod val="65000"/>
                  <a:lumOff val="35000"/>
                </a:schemeClr>
              </a:solidFill>
            </a:rPr>
            <a:t> Entry</a:t>
          </a:r>
          <a:endParaRPr lang="en-US" sz="1400" b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</xdr:col>
      <xdr:colOff>550671</xdr:colOff>
      <xdr:row>17</xdr:row>
      <xdr:rowOff>89752</xdr:rowOff>
    </xdr:from>
    <xdr:to>
      <xdr:col>1</xdr:col>
      <xdr:colOff>1712721</xdr:colOff>
      <xdr:row>19</xdr:row>
      <xdr:rowOff>51653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5688A08-7EB3-49B9-BA09-ADAC197A5BCC}"/>
            </a:ext>
          </a:extLst>
        </xdr:cNvPr>
        <xdr:cNvSpPr/>
      </xdr:nvSpPr>
      <xdr:spPr>
        <a:xfrm>
          <a:off x="961978" y="4689894"/>
          <a:ext cx="1162050" cy="5030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550671</xdr:colOff>
      <xdr:row>19</xdr:row>
      <xdr:rowOff>67565</xdr:rowOff>
    </xdr:from>
    <xdr:to>
      <xdr:col>1</xdr:col>
      <xdr:colOff>1712721</xdr:colOff>
      <xdr:row>21</xdr:row>
      <xdr:rowOff>29466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AAADF9C-E33F-41EE-8587-13112E730D87}"/>
            </a:ext>
          </a:extLst>
        </xdr:cNvPr>
        <xdr:cNvSpPr/>
      </xdr:nvSpPr>
      <xdr:spPr>
        <a:xfrm>
          <a:off x="961978" y="5208900"/>
          <a:ext cx="1162050" cy="5030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550671</xdr:colOff>
      <xdr:row>20</xdr:row>
      <xdr:rowOff>249180</xdr:rowOff>
    </xdr:from>
    <xdr:to>
      <xdr:col>1</xdr:col>
      <xdr:colOff>1712721</xdr:colOff>
      <xdr:row>22</xdr:row>
      <xdr:rowOff>126338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B074290-456D-4A05-B3BA-2AF8BD7F212E}"/>
            </a:ext>
          </a:extLst>
        </xdr:cNvPr>
        <xdr:cNvSpPr/>
      </xdr:nvSpPr>
      <xdr:spPr>
        <a:xfrm>
          <a:off x="961978" y="5661112"/>
          <a:ext cx="1162050" cy="4183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3</xdr:col>
      <xdr:colOff>16144</xdr:colOff>
      <xdr:row>1</xdr:row>
      <xdr:rowOff>16144</xdr:rowOff>
    </xdr:from>
    <xdr:to>
      <xdr:col>9</xdr:col>
      <xdr:colOff>80721</xdr:colOff>
      <xdr:row>4</xdr:row>
      <xdr:rowOff>48432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7C8A942-79AF-4E39-969D-46AC703F7409}"/>
            </a:ext>
          </a:extLst>
        </xdr:cNvPr>
        <xdr:cNvSpPr/>
      </xdr:nvSpPr>
      <xdr:spPr>
        <a:xfrm>
          <a:off x="2873644" y="290593"/>
          <a:ext cx="14174492" cy="855636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 b="1" baseline="0">
              <a:solidFill>
                <a:sysClr val="windowText" lastClr="000000"/>
              </a:solidFill>
            </a:rPr>
            <a:t>   Customers</a:t>
          </a:r>
        </a:p>
      </xdr:txBody>
    </xdr:sp>
    <xdr:clientData/>
  </xdr:twoCellAnchor>
  <xdr:twoCellAnchor editAs="absolute">
    <xdr:from>
      <xdr:col>1</xdr:col>
      <xdr:colOff>587953</xdr:colOff>
      <xdr:row>1</xdr:row>
      <xdr:rowOff>45028</xdr:rowOff>
    </xdr:from>
    <xdr:to>
      <xdr:col>1</xdr:col>
      <xdr:colOff>1190625</xdr:colOff>
      <xdr:row>3</xdr:row>
      <xdr:rowOff>110947</xdr:rowOff>
    </xdr:to>
    <xdr:pic>
      <xdr:nvPicPr>
        <xdr:cNvPr id="12" name="Graphic 11" descr="Search Inventory with solid fill">
          <a:extLst>
            <a:ext uri="{FF2B5EF4-FFF2-40B4-BE49-F238E27FC236}">
              <a16:creationId xmlns:a16="http://schemas.microsoft.com/office/drawing/2014/main" id="{9E5FA6B1-B481-4359-894B-5DD9F1E86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99260" y="315625"/>
          <a:ext cx="602672" cy="607112"/>
        </a:xfrm>
        <a:prstGeom prst="rect">
          <a:avLst/>
        </a:prstGeom>
      </xdr:spPr>
    </xdr:pic>
    <xdr:clientData/>
  </xdr:twoCellAnchor>
  <xdr:twoCellAnchor editAs="absolute">
    <xdr:from>
      <xdr:col>1</xdr:col>
      <xdr:colOff>159520</xdr:colOff>
      <xdr:row>7</xdr:row>
      <xdr:rowOff>3031</xdr:rowOff>
    </xdr:from>
    <xdr:to>
      <xdr:col>1</xdr:col>
      <xdr:colOff>489720</xdr:colOff>
      <xdr:row>8</xdr:row>
      <xdr:rowOff>77514</xdr:rowOff>
    </xdr:to>
    <xdr:pic>
      <xdr:nvPicPr>
        <xdr:cNvPr id="13" name="Graphic 12" descr="Presentation with bar chart with solid fill">
          <a:extLst>
            <a:ext uri="{FF2B5EF4-FFF2-40B4-BE49-F238E27FC236}">
              <a16:creationId xmlns:a16="http://schemas.microsoft.com/office/drawing/2014/main" id="{FA66FB05-23E4-44D8-B8CB-E6015E7E0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70827" y="1897207"/>
          <a:ext cx="330200" cy="345080"/>
        </a:xfrm>
        <a:prstGeom prst="rect">
          <a:avLst/>
        </a:prstGeom>
      </xdr:spPr>
    </xdr:pic>
    <xdr:clientData/>
  </xdr:twoCellAnchor>
  <xdr:twoCellAnchor editAs="absolute">
    <xdr:from>
      <xdr:col>1</xdr:col>
      <xdr:colOff>181168</xdr:colOff>
      <xdr:row>9</xdr:row>
      <xdr:rowOff>37486</xdr:rowOff>
    </xdr:from>
    <xdr:to>
      <xdr:col>1</xdr:col>
      <xdr:colOff>433168</xdr:colOff>
      <xdr:row>10</xdr:row>
      <xdr:rowOff>24744</xdr:rowOff>
    </xdr:to>
    <xdr:pic>
      <xdr:nvPicPr>
        <xdr:cNvPr id="14" name="Graphic 13" descr="User with solid fill">
          <a:extLst>
            <a:ext uri="{FF2B5EF4-FFF2-40B4-BE49-F238E27FC236}">
              <a16:creationId xmlns:a16="http://schemas.microsoft.com/office/drawing/2014/main" id="{28603D38-10AC-4BAC-BFEC-D454643FA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92475" y="2472855"/>
          <a:ext cx="252000" cy="257855"/>
        </a:xfrm>
        <a:prstGeom prst="rect">
          <a:avLst/>
        </a:prstGeom>
      </xdr:spPr>
    </xdr:pic>
    <xdr:clientData/>
  </xdr:twoCellAnchor>
  <xdr:twoCellAnchor editAs="absolute">
    <xdr:from>
      <xdr:col>1</xdr:col>
      <xdr:colOff>181168</xdr:colOff>
      <xdr:row>11</xdr:row>
      <xdr:rowOff>59618</xdr:rowOff>
    </xdr:from>
    <xdr:to>
      <xdr:col>1</xdr:col>
      <xdr:colOff>433168</xdr:colOff>
      <xdr:row>12</xdr:row>
      <xdr:rowOff>46874</xdr:rowOff>
    </xdr:to>
    <xdr:pic>
      <xdr:nvPicPr>
        <xdr:cNvPr id="15" name="Graphic 14" descr="User outline">
          <a:extLst>
            <a:ext uri="{FF2B5EF4-FFF2-40B4-BE49-F238E27FC236}">
              <a16:creationId xmlns:a16="http://schemas.microsoft.com/office/drawing/2014/main" id="{509E45CA-2E8C-4A26-90DE-D241ECFFD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92475" y="3036181"/>
          <a:ext cx="252000" cy="257852"/>
        </a:xfrm>
        <a:prstGeom prst="rect">
          <a:avLst/>
        </a:prstGeom>
      </xdr:spPr>
    </xdr:pic>
    <xdr:clientData/>
  </xdr:twoCellAnchor>
  <xdr:twoCellAnchor editAs="absolute">
    <xdr:from>
      <xdr:col>1</xdr:col>
      <xdr:colOff>181168</xdr:colOff>
      <xdr:row>13</xdr:row>
      <xdr:rowOff>80450</xdr:rowOff>
    </xdr:from>
    <xdr:to>
      <xdr:col>1</xdr:col>
      <xdr:colOff>433168</xdr:colOff>
      <xdr:row>14</xdr:row>
      <xdr:rowOff>67706</xdr:rowOff>
    </xdr:to>
    <xdr:pic>
      <xdr:nvPicPr>
        <xdr:cNvPr id="16" name="Graphic 15" descr="Inventory outline">
          <a:extLst>
            <a:ext uri="{FF2B5EF4-FFF2-40B4-BE49-F238E27FC236}">
              <a16:creationId xmlns:a16="http://schemas.microsoft.com/office/drawing/2014/main" id="{C16A7584-6BC1-4AB6-872D-1A1C1AB7E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92475" y="3598206"/>
          <a:ext cx="252000" cy="257852"/>
        </a:xfrm>
        <a:prstGeom prst="rect">
          <a:avLst/>
        </a:prstGeom>
      </xdr:spPr>
    </xdr:pic>
    <xdr:clientData/>
  </xdr:twoCellAnchor>
  <xdr:twoCellAnchor editAs="absolute">
    <xdr:from>
      <xdr:col>1</xdr:col>
      <xdr:colOff>181168</xdr:colOff>
      <xdr:row>15</xdr:row>
      <xdr:rowOff>125959</xdr:rowOff>
    </xdr:from>
    <xdr:to>
      <xdr:col>1</xdr:col>
      <xdr:colOff>433168</xdr:colOff>
      <xdr:row>16</xdr:row>
      <xdr:rowOff>119069</xdr:rowOff>
    </xdr:to>
    <xdr:pic>
      <xdr:nvPicPr>
        <xdr:cNvPr id="17" name="Graphic 16" descr="Full Brick Wall with solid fill">
          <a:extLst>
            <a:ext uri="{FF2B5EF4-FFF2-40B4-BE49-F238E27FC236}">
              <a16:creationId xmlns:a16="http://schemas.microsoft.com/office/drawing/2014/main" id="{A31217AF-E201-4DB9-9D04-A20E8E957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92475" y="4184908"/>
          <a:ext cx="252000" cy="263706"/>
        </a:xfrm>
        <a:prstGeom prst="rect">
          <a:avLst/>
        </a:prstGeom>
      </xdr:spPr>
    </xdr:pic>
    <xdr:clientData/>
  </xdr:twoCellAnchor>
  <xdr:twoCellAnchor editAs="absolute">
    <xdr:from>
      <xdr:col>1</xdr:col>
      <xdr:colOff>181168</xdr:colOff>
      <xdr:row>17</xdr:row>
      <xdr:rowOff>118873</xdr:rowOff>
    </xdr:from>
    <xdr:to>
      <xdr:col>1</xdr:col>
      <xdr:colOff>433168</xdr:colOff>
      <xdr:row>18</xdr:row>
      <xdr:rowOff>110828</xdr:rowOff>
    </xdr:to>
    <xdr:pic>
      <xdr:nvPicPr>
        <xdr:cNvPr id="18" name="Graphic 17" descr="Receipt with solid fill">
          <a:extLst>
            <a:ext uri="{FF2B5EF4-FFF2-40B4-BE49-F238E27FC236}">
              <a16:creationId xmlns:a16="http://schemas.microsoft.com/office/drawing/2014/main" id="{BAECF4FA-5556-4B4F-B03C-FEB2B89A1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92475" y="4719015"/>
          <a:ext cx="252000" cy="262552"/>
        </a:xfrm>
        <a:prstGeom prst="rect">
          <a:avLst/>
        </a:prstGeom>
      </xdr:spPr>
    </xdr:pic>
    <xdr:clientData/>
  </xdr:twoCellAnchor>
  <xdr:twoCellAnchor editAs="absolute">
    <xdr:from>
      <xdr:col>1</xdr:col>
      <xdr:colOff>181168</xdr:colOff>
      <xdr:row>19</xdr:row>
      <xdr:rowOff>92880</xdr:rowOff>
    </xdr:from>
    <xdr:to>
      <xdr:col>1</xdr:col>
      <xdr:colOff>433168</xdr:colOff>
      <xdr:row>20</xdr:row>
      <xdr:rowOff>84835</xdr:rowOff>
    </xdr:to>
    <xdr:pic>
      <xdr:nvPicPr>
        <xdr:cNvPr id="19" name="Graphic 18" descr="Register with solid fill">
          <a:extLst>
            <a:ext uri="{FF2B5EF4-FFF2-40B4-BE49-F238E27FC236}">
              <a16:creationId xmlns:a16="http://schemas.microsoft.com/office/drawing/2014/main" id="{298B333F-A973-45E6-AB2A-A8C78BC22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92475" y="5234215"/>
          <a:ext cx="252000" cy="262552"/>
        </a:xfrm>
        <a:prstGeom prst="rect">
          <a:avLst/>
        </a:prstGeom>
      </xdr:spPr>
    </xdr:pic>
    <xdr:clientData/>
  </xdr:twoCellAnchor>
  <xdr:twoCellAnchor editAs="absolute">
    <xdr:from>
      <xdr:col>1</xdr:col>
      <xdr:colOff>181168</xdr:colOff>
      <xdr:row>21</xdr:row>
      <xdr:rowOff>8873</xdr:rowOff>
    </xdr:from>
    <xdr:to>
      <xdr:col>1</xdr:col>
      <xdr:colOff>433168</xdr:colOff>
      <xdr:row>22</xdr:row>
      <xdr:rowOff>3804</xdr:rowOff>
    </xdr:to>
    <xdr:pic>
      <xdr:nvPicPr>
        <xdr:cNvPr id="20" name="Graphic 19" descr="Clipboard Partially Checked with solid fill">
          <a:extLst>
            <a:ext uri="{FF2B5EF4-FFF2-40B4-BE49-F238E27FC236}">
              <a16:creationId xmlns:a16="http://schemas.microsoft.com/office/drawing/2014/main" id="{C5C88E71-F6A1-4B97-AF0E-02FA12D9B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92475" y="5691401"/>
          <a:ext cx="252000" cy="2561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53462</xdr:colOff>
      <xdr:row>4</xdr:row>
      <xdr:rowOff>31093</xdr:rowOff>
    </xdr:from>
    <xdr:to>
      <xdr:col>1</xdr:col>
      <xdr:colOff>1905000</xdr:colOff>
      <xdr:row>6</xdr:row>
      <xdr:rowOff>60370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FF1FC2D-ABF6-4149-A8EE-4466C4395275}"/>
            </a:ext>
          </a:extLst>
        </xdr:cNvPr>
        <xdr:cNvSpPr/>
      </xdr:nvSpPr>
      <xdr:spPr>
        <a:xfrm>
          <a:off x="457948" y="1074929"/>
          <a:ext cx="1851538" cy="5511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Inventory</a:t>
          </a:r>
          <a:r>
            <a:rPr lang="en-US" sz="1400" b="1" baseline="0">
              <a:solidFill>
                <a:sysClr val="windowText" lastClr="000000"/>
              </a:solidFill>
            </a:rPr>
            <a:t> Management System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592664</xdr:colOff>
      <xdr:row>7</xdr:row>
      <xdr:rowOff>133554</xdr:rowOff>
    </xdr:from>
    <xdr:to>
      <xdr:col>1</xdr:col>
      <xdr:colOff>1802339</xdr:colOff>
      <xdr:row>9</xdr:row>
      <xdr:rowOff>95454</xdr:rowOff>
    </xdr:to>
    <xdr:sp macro="" textlink="">
      <xdr:nvSpPr>
        <xdr:cNvPr id="12" name="Rectangl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96B880-39D0-47A2-9891-9877EB2D9E08}"/>
            </a:ext>
          </a:extLst>
        </xdr:cNvPr>
        <xdr:cNvSpPr/>
      </xdr:nvSpPr>
      <xdr:spPr>
        <a:xfrm>
          <a:off x="1008544" y="2011723"/>
          <a:ext cx="1209675" cy="498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592664</xdr:colOff>
      <xdr:row>9</xdr:row>
      <xdr:rowOff>14292</xdr:rowOff>
    </xdr:from>
    <xdr:to>
      <xdr:col>1</xdr:col>
      <xdr:colOff>1792814</xdr:colOff>
      <xdr:row>10</xdr:row>
      <xdr:rowOff>246904</xdr:rowOff>
    </xdr:to>
    <xdr:sp macro="" textlink="">
      <xdr:nvSpPr>
        <xdr:cNvPr id="13" name="Rectangl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6ABC1B-387F-4F8F-9193-14E1E5977D14}"/>
            </a:ext>
          </a:extLst>
        </xdr:cNvPr>
        <xdr:cNvSpPr/>
      </xdr:nvSpPr>
      <xdr:spPr>
        <a:xfrm>
          <a:off x="1008544" y="2429081"/>
          <a:ext cx="1200150" cy="5009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592664</xdr:colOff>
      <xdr:row>10</xdr:row>
      <xdr:rowOff>165743</xdr:rowOff>
    </xdr:from>
    <xdr:to>
      <xdr:col>1</xdr:col>
      <xdr:colOff>1792814</xdr:colOff>
      <xdr:row>12</xdr:row>
      <xdr:rowOff>127644</xdr:rowOff>
    </xdr:to>
    <xdr:sp macro="" textlink="">
      <xdr:nvSpPr>
        <xdr:cNvPr id="14" name="Rectangle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BBBF19C-B91B-4092-9C12-6356D3DC54EF}"/>
            </a:ext>
          </a:extLst>
        </xdr:cNvPr>
        <xdr:cNvSpPr/>
      </xdr:nvSpPr>
      <xdr:spPr>
        <a:xfrm>
          <a:off x="1008544" y="2848842"/>
          <a:ext cx="1200150" cy="498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>
    <xdr:from>
      <xdr:col>1</xdr:col>
      <xdr:colOff>592664</xdr:colOff>
      <xdr:row>12</xdr:row>
      <xdr:rowOff>46483</xdr:rowOff>
    </xdr:from>
    <xdr:to>
      <xdr:col>1</xdr:col>
      <xdr:colOff>1802339</xdr:colOff>
      <xdr:row>14</xdr:row>
      <xdr:rowOff>9808</xdr:rowOff>
    </xdr:to>
    <xdr:sp macro="" textlink="">
      <xdr:nvSpPr>
        <xdr:cNvPr id="15" name="Rectangle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4FC302F-3F01-4C0E-B38C-5274C04AB082}"/>
            </a:ext>
          </a:extLst>
        </xdr:cNvPr>
        <xdr:cNvSpPr/>
      </xdr:nvSpPr>
      <xdr:spPr>
        <a:xfrm>
          <a:off x="1008544" y="3266201"/>
          <a:ext cx="1209675" cy="4999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592664</xdr:colOff>
      <xdr:row>13</xdr:row>
      <xdr:rowOff>197933</xdr:rowOff>
    </xdr:from>
    <xdr:to>
      <xdr:col>1</xdr:col>
      <xdr:colOff>1773764</xdr:colOff>
      <xdr:row>15</xdr:row>
      <xdr:rowOff>79624</xdr:rowOff>
    </xdr:to>
    <xdr:sp macro="" textlink="">
      <xdr:nvSpPr>
        <xdr:cNvPr id="16" name="Rectangle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C84CCF-AE16-426A-8CEC-3CF3624FF40B}"/>
            </a:ext>
          </a:extLst>
        </xdr:cNvPr>
        <xdr:cNvSpPr/>
      </xdr:nvSpPr>
      <xdr:spPr>
        <a:xfrm>
          <a:off x="1008544" y="3685961"/>
          <a:ext cx="1181100" cy="418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New</a:t>
          </a:r>
          <a:r>
            <a:rPr lang="en-US" sz="1400" b="0" baseline="0">
              <a:solidFill>
                <a:schemeClr val="tx1">
                  <a:lumMod val="65000"/>
                  <a:lumOff val="35000"/>
                </a:schemeClr>
              </a:solidFill>
            </a:rPr>
            <a:t> Entry</a:t>
          </a:r>
          <a:endParaRPr lang="en-US" sz="1400" b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</xdr:col>
      <xdr:colOff>592664</xdr:colOff>
      <xdr:row>15</xdr:row>
      <xdr:rowOff>88699</xdr:rowOff>
    </xdr:from>
    <xdr:to>
      <xdr:col>1</xdr:col>
      <xdr:colOff>1754714</xdr:colOff>
      <xdr:row>16</xdr:row>
      <xdr:rowOff>160890</xdr:rowOff>
    </xdr:to>
    <xdr:sp macro="" textlink="">
      <xdr:nvSpPr>
        <xdr:cNvPr id="17" name="Rectangle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4D56F84-6FDA-47E7-87A9-4F3399D7252A}"/>
            </a:ext>
          </a:extLst>
        </xdr:cNvPr>
        <xdr:cNvSpPr/>
      </xdr:nvSpPr>
      <xdr:spPr>
        <a:xfrm>
          <a:off x="1008544" y="4113347"/>
          <a:ext cx="1162050" cy="3405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592664</xdr:colOff>
      <xdr:row>16</xdr:row>
      <xdr:rowOff>250175</xdr:rowOff>
    </xdr:from>
    <xdr:to>
      <xdr:col>1</xdr:col>
      <xdr:colOff>1754714</xdr:colOff>
      <xdr:row>18</xdr:row>
      <xdr:rowOff>131865</xdr:rowOff>
    </xdr:to>
    <xdr:sp macro="" textlink="">
      <xdr:nvSpPr>
        <xdr:cNvPr id="18" name="Rectangle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E1ACD80-7768-460C-84D5-E4BC6CE8AB08}"/>
            </a:ext>
          </a:extLst>
        </xdr:cNvPr>
        <xdr:cNvSpPr/>
      </xdr:nvSpPr>
      <xdr:spPr>
        <a:xfrm>
          <a:off x="999840" y="4554602"/>
          <a:ext cx="1162050" cy="4197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592664</xdr:colOff>
      <xdr:row>18</xdr:row>
      <xdr:rowOff>158846</xdr:rowOff>
    </xdr:from>
    <xdr:to>
      <xdr:col>1</xdr:col>
      <xdr:colOff>1754714</xdr:colOff>
      <xdr:row>20</xdr:row>
      <xdr:rowOff>45431</xdr:rowOff>
    </xdr:to>
    <xdr:sp macro="" textlink="">
      <xdr:nvSpPr>
        <xdr:cNvPr id="19" name="Rectang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84D31C3-8850-482E-B57B-57EDDB54E972}"/>
            </a:ext>
          </a:extLst>
        </xdr:cNvPr>
        <xdr:cNvSpPr/>
      </xdr:nvSpPr>
      <xdr:spPr>
        <a:xfrm>
          <a:off x="1008544" y="4988423"/>
          <a:ext cx="1162050" cy="4232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3</xdr:col>
      <xdr:colOff>26096</xdr:colOff>
      <xdr:row>1</xdr:row>
      <xdr:rowOff>13048</xdr:rowOff>
    </xdr:from>
    <xdr:to>
      <xdr:col>8</xdr:col>
      <xdr:colOff>13048</xdr:colOff>
      <xdr:row>3</xdr:row>
      <xdr:rowOff>211215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A31C1FE-D2F4-40A4-B454-31140187FD97}"/>
            </a:ext>
          </a:extLst>
        </xdr:cNvPr>
        <xdr:cNvSpPr/>
      </xdr:nvSpPr>
      <xdr:spPr>
        <a:xfrm>
          <a:off x="3001028" y="274007"/>
          <a:ext cx="11351712" cy="720085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 b="1" baseline="0">
              <a:solidFill>
                <a:sysClr val="windowText" lastClr="000000"/>
              </a:solidFill>
            </a:rPr>
            <a:t>   Vendors</a:t>
          </a:r>
          <a:endParaRPr 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619173</xdr:colOff>
      <xdr:row>1</xdr:row>
      <xdr:rowOff>94020</xdr:rowOff>
    </xdr:from>
    <xdr:to>
      <xdr:col>1</xdr:col>
      <xdr:colOff>1398024</xdr:colOff>
      <xdr:row>3</xdr:row>
      <xdr:rowOff>243152</xdr:rowOff>
    </xdr:to>
    <xdr:pic>
      <xdr:nvPicPr>
        <xdr:cNvPr id="21" name="Graphic 20" descr="Search Inventory with solid fill">
          <a:extLst>
            <a:ext uri="{FF2B5EF4-FFF2-40B4-BE49-F238E27FC236}">
              <a16:creationId xmlns:a16="http://schemas.microsoft.com/office/drawing/2014/main" id="{DE80A5D0-5A46-4501-9FDA-045AA8501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33971" y="355189"/>
          <a:ext cx="778851" cy="671471"/>
        </a:xfrm>
        <a:prstGeom prst="rect">
          <a:avLst/>
        </a:prstGeom>
      </xdr:spPr>
    </xdr:pic>
    <xdr:clientData/>
  </xdr:twoCellAnchor>
  <xdr:twoCellAnchor editAs="absolute">
    <xdr:from>
      <xdr:col>1</xdr:col>
      <xdr:colOff>208186</xdr:colOff>
      <xdr:row>7</xdr:row>
      <xdr:rowOff>123558</xdr:rowOff>
    </xdr:from>
    <xdr:to>
      <xdr:col>1</xdr:col>
      <xdr:colOff>538386</xdr:colOff>
      <xdr:row>8</xdr:row>
      <xdr:rowOff>185826</xdr:rowOff>
    </xdr:to>
    <xdr:pic>
      <xdr:nvPicPr>
        <xdr:cNvPr id="22" name="Graphic 21" descr="Presentation with bar chart with solid fill">
          <a:extLst>
            <a:ext uri="{FF2B5EF4-FFF2-40B4-BE49-F238E27FC236}">
              <a16:creationId xmlns:a16="http://schemas.microsoft.com/office/drawing/2014/main" id="{0B712338-B7A8-41D4-A135-D75C4A996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17525" y="1997070"/>
          <a:ext cx="330200" cy="329913"/>
        </a:xfrm>
        <a:prstGeom prst="rect">
          <a:avLst/>
        </a:prstGeom>
      </xdr:spPr>
    </xdr:pic>
    <xdr:clientData/>
  </xdr:twoCellAnchor>
  <xdr:twoCellAnchor editAs="absolute">
    <xdr:from>
      <xdr:col>1</xdr:col>
      <xdr:colOff>223930</xdr:colOff>
      <xdr:row>9</xdr:row>
      <xdr:rowOff>29090</xdr:rowOff>
    </xdr:from>
    <xdr:to>
      <xdr:col>1</xdr:col>
      <xdr:colOff>475930</xdr:colOff>
      <xdr:row>10</xdr:row>
      <xdr:rowOff>6614</xdr:rowOff>
    </xdr:to>
    <xdr:pic>
      <xdr:nvPicPr>
        <xdr:cNvPr id="23" name="Graphic 22" descr="User with solid fill">
          <a:extLst>
            <a:ext uri="{FF2B5EF4-FFF2-40B4-BE49-F238E27FC236}">
              <a16:creationId xmlns:a16="http://schemas.microsoft.com/office/drawing/2014/main" id="{97AA2B0A-5623-44D6-92BB-DA96674AF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28416" y="2377720"/>
          <a:ext cx="252000" cy="238483"/>
        </a:xfrm>
        <a:prstGeom prst="rect">
          <a:avLst/>
        </a:prstGeom>
      </xdr:spPr>
    </xdr:pic>
    <xdr:clientData/>
  </xdr:twoCellAnchor>
  <xdr:twoCellAnchor editAs="absolute">
    <xdr:from>
      <xdr:col>1</xdr:col>
      <xdr:colOff>223930</xdr:colOff>
      <xdr:row>10</xdr:row>
      <xdr:rowOff>181368</xdr:rowOff>
    </xdr:from>
    <xdr:to>
      <xdr:col>1</xdr:col>
      <xdr:colOff>475930</xdr:colOff>
      <xdr:row>11</xdr:row>
      <xdr:rowOff>158889</xdr:rowOff>
    </xdr:to>
    <xdr:pic>
      <xdr:nvPicPr>
        <xdr:cNvPr id="24" name="Graphic 23" descr="User outline">
          <a:extLst>
            <a:ext uri="{FF2B5EF4-FFF2-40B4-BE49-F238E27FC236}">
              <a16:creationId xmlns:a16="http://schemas.microsoft.com/office/drawing/2014/main" id="{FE608215-887E-48C7-9449-3497BC544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28416" y="2790957"/>
          <a:ext cx="252000" cy="238480"/>
        </a:xfrm>
        <a:prstGeom prst="rect">
          <a:avLst/>
        </a:prstGeom>
      </xdr:spPr>
    </xdr:pic>
    <xdr:clientData/>
  </xdr:twoCellAnchor>
  <xdr:twoCellAnchor editAs="absolute">
    <xdr:from>
      <xdr:col>1</xdr:col>
      <xdr:colOff>223930</xdr:colOff>
      <xdr:row>12</xdr:row>
      <xdr:rowOff>88692</xdr:rowOff>
    </xdr:from>
    <xdr:to>
      <xdr:col>1</xdr:col>
      <xdr:colOff>475930</xdr:colOff>
      <xdr:row>13</xdr:row>
      <xdr:rowOff>66211</xdr:rowOff>
    </xdr:to>
    <xdr:pic>
      <xdr:nvPicPr>
        <xdr:cNvPr id="25" name="Graphic 24" descr="Inventory outline">
          <a:extLst>
            <a:ext uri="{FF2B5EF4-FFF2-40B4-BE49-F238E27FC236}">
              <a16:creationId xmlns:a16="http://schemas.microsoft.com/office/drawing/2014/main" id="{FCA1C44E-5336-4769-91A1-E28CD9F4F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628416" y="3220199"/>
          <a:ext cx="252000" cy="238478"/>
        </a:xfrm>
        <a:prstGeom prst="rect">
          <a:avLst/>
        </a:prstGeom>
      </xdr:spPr>
    </xdr:pic>
    <xdr:clientData/>
  </xdr:twoCellAnchor>
  <xdr:twoCellAnchor editAs="absolute">
    <xdr:from>
      <xdr:col>1</xdr:col>
      <xdr:colOff>223930</xdr:colOff>
      <xdr:row>13</xdr:row>
      <xdr:rowOff>227254</xdr:rowOff>
    </xdr:from>
    <xdr:to>
      <xdr:col>1</xdr:col>
      <xdr:colOff>475930</xdr:colOff>
      <xdr:row>14</xdr:row>
      <xdr:rowOff>203408</xdr:rowOff>
    </xdr:to>
    <xdr:pic>
      <xdr:nvPicPr>
        <xdr:cNvPr id="26" name="Graphic 25" descr="Full Brick Wall with solid fill">
          <a:extLst>
            <a:ext uri="{FF2B5EF4-FFF2-40B4-BE49-F238E27FC236}">
              <a16:creationId xmlns:a16="http://schemas.microsoft.com/office/drawing/2014/main" id="{D39E59F2-2BB5-4A8D-9E7E-749000D93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628416" y="3619720"/>
          <a:ext cx="252000" cy="237113"/>
        </a:xfrm>
        <a:prstGeom prst="rect">
          <a:avLst/>
        </a:prstGeom>
      </xdr:spPr>
    </xdr:pic>
    <xdr:clientData/>
  </xdr:twoCellAnchor>
  <xdr:twoCellAnchor editAs="absolute">
    <xdr:from>
      <xdr:col>1</xdr:col>
      <xdr:colOff>223930</xdr:colOff>
      <xdr:row>15</xdr:row>
      <xdr:rowOff>105424</xdr:rowOff>
    </xdr:from>
    <xdr:to>
      <xdr:col>1</xdr:col>
      <xdr:colOff>475930</xdr:colOff>
      <xdr:row>16</xdr:row>
      <xdr:rowOff>87645</xdr:rowOff>
    </xdr:to>
    <xdr:pic>
      <xdr:nvPicPr>
        <xdr:cNvPr id="27" name="Graphic 26" descr="Receipt with solid fill">
          <a:extLst>
            <a:ext uri="{FF2B5EF4-FFF2-40B4-BE49-F238E27FC236}">
              <a16:creationId xmlns:a16="http://schemas.microsoft.com/office/drawing/2014/main" id="{B2A362B5-DAB7-4BBA-8D68-FEB0152AE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628416" y="4019808"/>
          <a:ext cx="252000" cy="243179"/>
        </a:xfrm>
        <a:prstGeom prst="rect">
          <a:avLst/>
        </a:prstGeom>
      </xdr:spPr>
    </xdr:pic>
    <xdr:clientData/>
  </xdr:twoCellAnchor>
  <xdr:twoCellAnchor editAs="absolute">
    <xdr:from>
      <xdr:col>1</xdr:col>
      <xdr:colOff>223930</xdr:colOff>
      <xdr:row>16</xdr:row>
      <xdr:rowOff>249709</xdr:rowOff>
    </xdr:from>
    <xdr:to>
      <xdr:col>1</xdr:col>
      <xdr:colOff>475930</xdr:colOff>
      <xdr:row>17</xdr:row>
      <xdr:rowOff>231928</xdr:rowOff>
    </xdr:to>
    <xdr:pic>
      <xdr:nvPicPr>
        <xdr:cNvPr id="28" name="Graphic 27" descr="Register with solid fill">
          <a:extLst>
            <a:ext uri="{FF2B5EF4-FFF2-40B4-BE49-F238E27FC236}">
              <a16:creationId xmlns:a16="http://schemas.microsoft.com/office/drawing/2014/main" id="{0BA65830-9C57-48F6-8A8C-1DD3B06A8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631106" y="4554136"/>
          <a:ext cx="252000" cy="251246"/>
        </a:xfrm>
        <a:prstGeom prst="rect">
          <a:avLst/>
        </a:prstGeom>
      </xdr:spPr>
    </xdr:pic>
    <xdr:clientData/>
  </xdr:twoCellAnchor>
  <xdr:twoCellAnchor editAs="absolute">
    <xdr:from>
      <xdr:col>1</xdr:col>
      <xdr:colOff>223930</xdr:colOff>
      <xdr:row>18</xdr:row>
      <xdr:rowOff>184868</xdr:rowOff>
    </xdr:from>
    <xdr:to>
      <xdr:col>1</xdr:col>
      <xdr:colOff>475930</xdr:colOff>
      <xdr:row>19</xdr:row>
      <xdr:rowOff>160637</xdr:rowOff>
    </xdr:to>
    <xdr:pic>
      <xdr:nvPicPr>
        <xdr:cNvPr id="29" name="Graphic 28" descr="Clipboard Partially Checked with solid fill">
          <a:extLst>
            <a:ext uri="{FF2B5EF4-FFF2-40B4-BE49-F238E27FC236}">
              <a16:creationId xmlns:a16="http://schemas.microsoft.com/office/drawing/2014/main" id="{7D489729-805A-4F4D-A96F-831096C62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631106" y="5027349"/>
          <a:ext cx="252000" cy="2447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17165</xdr:colOff>
      <xdr:row>3</xdr:row>
      <xdr:rowOff>117023</xdr:rowOff>
    </xdr:from>
    <xdr:to>
      <xdr:col>1</xdr:col>
      <xdr:colOff>1779396</xdr:colOff>
      <xdr:row>5</xdr:row>
      <xdr:rowOff>198874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80E9C9F-897F-4A42-9FA3-4D3B05807AB1}"/>
            </a:ext>
          </a:extLst>
        </xdr:cNvPr>
        <xdr:cNvSpPr/>
      </xdr:nvSpPr>
      <xdr:spPr>
        <a:xfrm>
          <a:off x="425379" y="902050"/>
          <a:ext cx="1762231" cy="60520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Inventory</a:t>
          </a:r>
          <a:r>
            <a:rPr lang="en-US" sz="1400" b="1" baseline="0">
              <a:solidFill>
                <a:sysClr val="windowText" lastClr="000000"/>
              </a:solidFill>
            </a:rPr>
            <a:t> Management System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591469</xdr:colOff>
      <xdr:row>6</xdr:row>
      <xdr:rowOff>205805</xdr:rowOff>
    </xdr:from>
    <xdr:to>
      <xdr:col>2</xdr:col>
      <xdr:colOff>814</xdr:colOff>
      <xdr:row>8</xdr:row>
      <xdr:rowOff>167704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573E8B-A148-4ED6-84A3-08620E00ADBB}"/>
            </a:ext>
          </a:extLst>
        </xdr:cNvPr>
        <xdr:cNvSpPr/>
      </xdr:nvSpPr>
      <xdr:spPr>
        <a:xfrm>
          <a:off x="999683" y="1775860"/>
          <a:ext cx="1209675" cy="4852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591469</xdr:colOff>
      <xdr:row>8</xdr:row>
      <xdr:rowOff>226911</xdr:rowOff>
    </xdr:from>
    <xdr:to>
      <xdr:col>1</xdr:col>
      <xdr:colOff>1791619</xdr:colOff>
      <xdr:row>10</xdr:row>
      <xdr:rowOff>188813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146A19-D019-4F11-91C3-135719D7346D}"/>
            </a:ext>
          </a:extLst>
        </xdr:cNvPr>
        <xdr:cNvSpPr/>
      </xdr:nvSpPr>
      <xdr:spPr>
        <a:xfrm>
          <a:off x="999683" y="2320318"/>
          <a:ext cx="1200150" cy="4852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591469</xdr:colOff>
      <xdr:row>10</xdr:row>
      <xdr:rowOff>248020</xdr:rowOff>
    </xdr:from>
    <xdr:to>
      <xdr:col>1</xdr:col>
      <xdr:colOff>1791619</xdr:colOff>
      <xdr:row>12</xdr:row>
      <xdr:rowOff>209921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540FE8-AADA-4BD4-AFB9-8EEF5D528C53}"/>
            </a:ext>
          </a:extLst>
        </xdr:cNvPr>
        <xdr:cNvSpPr/>
      </xdr:nvSpPr>
      <xdr:spPr>
        <a:xfrm>
          <a:off x="999683" y="2864778"/>
          <a:ext cx="1200150" cy="4852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591469</xdr:colOff>
      <xdr:row>13</xdr:row>
      <xdr:rowOff>7452</xdr:rowOff>
    </xdr:from>
    <xdr:to>
      <xdr:col>2</xdr:col>
      <xdr:colOff>814</xdr:colOff>
      <xdr:row>14</xdr:row>
      <xdr:rowOff>231028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C4B8898-06A7-494D-B05B-BA4D888F3D12}"/>
            </a:ext>
          </a:extLst>
        </xdr:cNvPr>
        <xdr:cNvSpPr/>
      </xdr:nvSpPr>
      <xdr:spPr>
        <a:xfrm>
          <a:off x="999683" y="3409238"/>
          <a:ext cx="1209675" cy="4852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>
    <xdr:from>
      <xdr:col>1</xdr:col>
      <xdr:colOff>591469</xdr:colOff>
      <xdr:row>15</xdr:row>
      <xdr:rowOff>28560</xdr:rowOff>
    </xdr:from>
    <xdr:to>
      <xdr:col>1</xdr:col>
      <xdr:colOff>1772569</xdr:colOff>
      <xdr:row>16</xdr:row>
      <xdr:rowOff>252137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DF40CF6-FFFF-44B3-B5E7-35D866830334}"/>
            </a:ext>
          </a:extLst>
        </xdr:cNvPr>
        <xdr:cNvSpPr/>
      </xdr:nvSpPr>
      <xdr:spPr>
        <a:xfrm>
          <a:off x="999683" y="3953697"/>
          <a:ext cx="1181100" cy="4852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New</a:t>
          </a:r>
          <a:r>
            <a:rPr lang="en-US" sz="1400" b="0" baseline="0">
              <a:solidFill>
                <a:schemeClr val="tx1">
                  <a:lumMod val="65000"/>
                  <a:lumOff val="35000"/>
                </a:schemeClr>
              </a:solidFill>
            </a:rPr>
            <a:t> Entry</a:t>
          </a:r>
          <a:endParaRPr lang="en-US" sz="1400" b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</xdr:col>
      <xdr:colOff>591469</xdr:colOff>
      <xdr:row>17</xdr:row>
      <xdr:rowOff>49668</xdr:rowOff>
    </xdr:from>
    <xdr:to>
      <xdr:col>1</xdr:col>
      <xdr:colOff>1753519</xdr:colOff>
      <xdr:row>19</xdr:row>
      <xdr:rowOff>11568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E001C7D-E6F1-48D6-8579-ED13CA80E834}"/>
            </a:ext>
          </a:extLst>
        </xdr:cNvPr>
        <xdr:cNvSpPr/>
      </xdr:nvSpPr>
      <xdr:spPr>
        <a:xfrm>
          <a:off x="999683" y="4498157"/>
          <a:ext cx="1162050" cy="4852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591469</xdr:colOff>
      <xdr:row>19</xdr:row>
      <xdr:rowOff>70775</xdr:rowOff>
    </xdr:from>
    <xdr:to>
      <xdr:col>1</xdr:col>
      <xdr:colOff>1753519</xdr:colOff>
      <xdr:row>21</xdr:row>
      <xdr:rowOff>32677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1541FBD-F10B-49B2-9B3A-BBD95ACAC543}"/>
            </a:ext>
          </a:extLst>
        </xdr:cNvPr>
        <xdr:cNvSpPr/>
      </xdr:nvSpPr>
      <xdr:spPr>
        <a:xfrm>
          <a:off x="999683" y="5042616"/>
          <a:ext cx="1162050" cy="4852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591469</xdr:colOff>
      <xdr:row>21</xdr:row>
      <xdr:rowOff>21166</xdr:rowOff>
    </xdr:from>
    <xdr:to>
      <xdr:col>1</xdr:col>
      <xdr:colOff>1753519</xdr:colOff>
      <xdr:row>22</xdr:row>
      <xdr:rowOff>168921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39990E8-8E4C-4065-A3FD-D0CAD7C1C186}"/>
            </a:ext>
          </a:extLst>
        </xdr:cNvPr>
        <xdr:cNvSpPr/>
      </xdr:nvSpPr>
      <xdr:spPr>
        <a:xfrm>
          <a:off x="999683" y="5516358"/>
          <a:ext cx="1162050" cy="4094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3</xdr:col>
      <xdr:colOff>20934</xdr:colOff>
      <xdr:row>1</xdr:row>
      <xdr:rowOff>31401</xdr:rowOff>
    </xdr:from>
    <xdr:to>
      <xdr:col>10</xdr:col>
      <xdr:colOff>278035</xdr:colOff>
      <xdr:row>3</xdr:row>
      <xdr:rowOff>213878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FF8A42E-B23E-4993-8F8B-C66CBABE0B5E}"/>
            </a:ext>
          </a:extLst>
        </xdr:cNvPr>
        <xdr:cNvSpPr/>
      </xdr:nvSpPr>
      <xdr:spPr>
        <a:xfrm>
          <a:off x="2805165" y="293077"/>
          <a:ext cx="11038145" cy="705828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 b="1" baseline="0">
              <a:solidFill>
                <a:sysClr val="windowText" lastClr="000000"/>
              </a:solidFill>
            </a:rPr>
            <a:t>   Products</a:t>
          </a:r>
          <a:endParaRPr 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558543</xdr:colOff>
      <xdr:row>1</xdr:row>
      <xdr:rowOff>21184</xdr:rowOff>
    </xdr:from>
    <xdr:to>
      <xdr:col>1</xdr:col>
      <xdr:colOff>1256044</xdr:colOff>
      <xdr:row>3</xdr:row>
      <xdr:rowOff>115139</xdr:rowOff>
    </xdr:to>
    <xdr:pic>
      <xdr:nvPicPr>
        <xdr:cNvPr id="12" name="Graphic 11" descr="Search Inventory with solid fill">
          <a:extLst>
            <a:ext uri="{FF2B5EF4-FFF2-40B4-BE49-F238E27FC236}">
              <a16:creationId xmlns:a16="http://schemas.microsoft.com/office/drawing/2014/main" id="{81D8765A-960D-4E18-BC64-FCA1A2721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66757" y="282860"/>
          <a:ext cx="697501" cy="617306"/>
        </a:xfrm>
        <a:prstGeom prst="rect">
          <a:avLst/>
        </a:prstGeom>
      </xdr:spPr>
    </xdr:pic>
    <xdr:clientData/>
  </xdr:twoCellAnchor>
  <xdr:twoCellAnchor editAs="absolute">
    <xdr:from>
      <xdr:col>1</xdr:col>
      <xdr:colOff>195546</xdr:colOff>
      <xdr:row>6</xdr:row>
      <xdr:rowOff>206764</xdr:rowOff>
    </xdr:from>
    <xdr:to>
      <xdr:col>1</xdr:col>
      <xdr:colOff>525746</xdr:colOff>
      <xdr:row>7</xdr:row>
      <xdr:rowOff>259337</xdr:rowOff>
    </xdr:to>
    <xdr:pic>
      <xdr:nvPicPr>
        <xdr:cNvPr id="13" name="Graphic 12" descr="Presentation with bar chart with solid fill">
          <a:extLst>
            <a:ext uri="{FF2B5EF4-FFF2-40B4-BE49-F238E27FC236}">
              <a16:creationId xmlns:a16="http://schemas.microsoft.com/office/drawing/2014/main" id="{022663A3-722D-4C5E-9E9C-EE0BDB788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03760" y="1776819"/>
          <a:ext cx="330200" cy="314249"/>
        </a:xfrm>
        <a:prstGeom prst="rect">
          <a:avLst/>
        </a:prstGeom>
      </xdr:spPr>
    </xdr:pic>
    <xdr:clientData/>
  </xdr:twoCellAnchor>
  <xdr:twoCellAnchor editAs="absolute">
    <xdr:from>
      <xdr:col>1</xdr:col>
      <xdr:colOff>226948</xdr:colOff>
      <xdr:row>8</xdr:row>
      <xdr:rowOff>255934</xdr:rowOff>
    </xdr:from>
    <xdr:to>
      <xdr:col>1</xdr:col>
      <xdr:colOff>478948</xdr:colOff>
      <xdr:row>9</xdr:row>
      <xdr:rowOff>236700</xdr:rowOff>
    </xdr:to>
    <xdr:pic>
      <xdr:nvPicPr>
        <xdr:cNvPr id="14" name="Graphic 13" descr="User with solid fill">
          <a:extLst>
            <a:ext uri="{FF2B5EF4-FFF2-40B4-BE49-F238E27FC236}">
              <a16:creationId xmlns:a16="http://schemas.microsoft.com/office/drawing/2014/main" id="{916BA420-205B-4017-AC3D-3CABF72DB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35162" y="2349341"/>
          <a:ext cx="252000" cy="242441"/>
        </a:xfrm>
        <a:prstGeom prst="rect">
          <a:avLst/>
        </a:prstGeom>
      </xdr:spPr>
    </xdr:pic>
    <xdr:clientData/>
  </xdr:twoCellAnchor>
  <xdr:twoCellAnchor editAs="absolute">
    <xdr:from>
      <xdr:col>1</xdr:col>
      <xdr:colOff>226948</xdr:colOff>
      <xdr:row>11</xdr:row>
      <xdr:rowOff>33986</xdr:rowOff>
    </xdr:from>
    <xdr:to>
      <xdr:col>1</xdr:col>
      <xdr:colOff>478948</xdr:colOff>
      <xdr:row>12</xdr:row>
      <xdr:rowOff>14747</xdr:rowOff>
    </xdr:to>
    <xdr:pic>
      <xdr:nvPicPr>
        <xdr:cNvPr id="15" name="Graphic 14" descr="User outline">
          <a:extLst>
            <a:ext uri="{FF2B5EF4-FFF2-40B4-BE49-F238E27FC236}">
              <a16:creationId xmlns:a16="http://schemas.microsoft.com/office/drawing/2014/main" id="{77454CB1-B107-40A1-8558-3E4DC1321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35162" y="2912420"/>
          <a:ext cx="252000" cy="242437"/>
        </a:xfrm>
        <a:prstGeom prst="rect">
          <a:avLst/>
        </a:prstGeom>
      </xdr:spPr>
    </xdr:pic>
    <xdr:clientData/>
  </xdr:twoCellAnchor>
  <xdr:twoCellAnchor editAs="absolute">
    <xdr:from>
      <xdr:col>1</xdr:col>
      <xdr:colOff>226948</xdr:colOff>
      <xdr:row>13</xdr:row>
      <xdr:rowOff>22241</xdr:rowOff>
    </xdr:from>
    <xdr:to>
      <xdr:col>1</xdr:col>
      <xdr:colOff>478948</xdr:colOff>
      <xdr:row>14</xdr:row>
      <xdr:rowOff>4927</xdr:rowOff>
    </xdr:to>
    <xdr:pic>
      <xdr:nvPicPr>
        <xdr:cNvPr id="16" name="Graphic 15" descr="Inventory outline">
          <a:extLst>
            <a:ext uri="{FF2B5EF4-FFF2-40B4-BE49-F238E27FC236}">
              <a16:creationId xmlns:a16="http://schemas.microsoft.com/office/drawing/2014/main" id="{A35F3DE0-BA1C-4BAF-B70C-F6DE2C82B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635162" y="3424027"/>
          <a:ext cx="252000" cy="244362"/>
        </a:xfrm>
        <a:prstGeom prst="rect">
          <a:avLst/>
        </a:prstGeom>
      </xdr:spPr>
    </xdr:pic>
    <xdr:clientData/>
  </xdr:twoCellAnchor>
  <xdr:twoCellAnchor editAs="absolute">
    <xdr:from>
      <xdr:col>1</xdr:col>
      <xdr:colOff>226948</xdr:colOff>
      <xdr:row>15</xdr:row>
      <xdr:rowOff>83765</xdr:rowOff>
    </xdr:from>
    <xdr:to>
      <xdr:col>1</xdr:col>
      <xdr:colOff>478948</xdr:colOff>
      <xdr:row>16</xdr:row>
      <xdr:rowOff>62683</xdr:rowOff>
    </xdr:to>
    <xdr:pic>
      <xdr:nvPicPr>
        <xdr:cNvPr id="17" name="Graphic 16" descr="Full Brick Wall with solid fill">
          <a:extLst>
            <a:ext uri="{FF2B5EF4-FFF2-40B4-BE49-F238E27FC236}">
              <a16:creationId xmlns:a16="http://schemas.microsoft.com/office/drawing/2014/main" id="{DBC085AA-06FD-4AF8-BB35-E4AAE6FFC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635162" y="4008902"/>
          <a:ext cx="252000" cy="240594"/>
        </a:xfrm>
        <a:prstGeom prst="rect">
          <a:avLst/>
        </a:prstGeom>
      </xdr:spPr>
    </xdr:pic>
    <xdr:clientData/>
  </xdr:twoCellAnchor>
  <xdr:twoCellAnchor editAs="absolute">
    <xdr:from>
      <xdr:col>1</xdr:col>
      <xdr:colOff>226948</xdr:colOff>
      <xdr:row>17</xdr:row>
      <xdr:rowOff>91148</xdr:rowOff>
    </xdr:from>
    <xdr:to>
      <xdr:col>1</xdr:col>
      <xdr:colOff>478948</xdr:colOff>
      <xdr:row>18</xdr:row>
      <xdr:rowOff>78534</xdr:rowOff>
    </xdr:to>
    <xdr:pic>
      <xdr:nvPicPr>
        <xdr:cNvPr id="18" name="Graphic 17" descr="Receipt with solid fill">
          <a:extLst>
            <a:ext uri="{FF2B5EF4-FFF2-40B4-BE49-F238E27FC236}">
              <a16:creationId xmlns:a16="http://schemas.microsoft.com/office/drawing/2014/main" id="{61F89B72-5EBD-4A05-8D41-2AC4FA911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635162" y="4539637"/>
          <a:ext cx="252000" cy="249062"/>
        </a:xfrm>
        <a:prstGeom prst="rect">
          <a:avLst/>
        </a:prstGeom>
      </xdr:spPr>
    </xdr:pic>
    <xdr:clientData/>
  </xdr:twoCellAnchor>
  <xdr:twoCellAnchor editAs="absolute">
    <xdr:from>
      <xdr:col>1</xdr:col>
      <xdr:colOff>226948</xdr:colOff>
      <xdr:row>19</xdr:row>
      <xdr:rowOff>87909</xdr:rowOff>
    </xdr:from>
    <xdr:to>
      <xdr:col>1</xdr:col>
      <xdr:colOff>478948</xdr:colOff>
      <xdr:row>20</xdr:row>
      <xdr:rowOff>81088</xdr:rowOff>
    </xdr:to>
    <xdr:pic>
      <xdr:nvPicPr>
        <xdr:cNvPr id="19" name="Graphic 18" descr="Register with solid fill">
          <a:extLst>
            <a:ext uri="{FF2B5EF4-FFF2-40B4-BE49-F238E27FC236}">
              <a16:creationId xmlns:a16="http://schemas.microsoft.com/office/drawing/2014/main" id="{6F373A4D-8ECC-44DE-B90C-A729E846A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635162" y="5059750"/>
          <a:ext cx="252000" cy="254854"/>
        </a:xfrm>
        <a:prstGeom prst="rect">
          <a:avLst/>
        </a:prstGeom>
      </xdr:spPr>
    </xdr:pic>
    <xdr:clientData/>
  </xdr:twoCellAnchor>
  <xdr:twoCellAnchor editAs="absolute">
    <xdr:from>
      <xdr:col>1</xdr:col>
      <xdr:colOff>226948</xdr:colOff>
      <xdr:row>21</xdr:row>
      <xdr:rowOff>26721</xdr:rowOff>
    </xdr:from>
    <xdr:to>
      <xdr:col>1</xdr:col>
      <xdr:colOff>478948</xdr:colOff>
      <xdr:row>22</xdr:row>
      <xdr:rowOff>5731</xdr:rowOff>
    </xdr:to>
    <xdr:pic>
      <xdr:nvPicPr>
        <xdr:cNvPr id="20" name="Graphic 19" descr="Clipboard Partially Checked with solid fill">
          <a:extLst>
            <a:ext uri="{FF2B5EF4-FFF2-40B4-BE49-F238E27FC236}">
              <a16:creationId xmlns:a16="http://schemas.microsoft.com/office/drawing/2014/main" id="{41190103-7465-49B7-8935-5B330C6F7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635162" y="5521913"/>
          <a:ext cx="252000" cy="2406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294951</xdr:colOff>
      <xdr:row>3</xdr:row>
      <xdr:rowOff>94442</xdr:rowOff>
    </xdr:from>
    <xdr:to>
      <xdr:col>1</xdr:col>
      <xdr:colOff>1830084</xdr:colOff>
      <xdr:row>5</xdr:row>
      <xdr:rowOff>128426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A494BB5-BA7B-473E-9AE3-351D08870490}"/>
            </a:ext>
          </a:extLst>
        </xdr:cNvPr>
        <xdr:cNvSpPr/>
      </xdr:nvSpPr>
      <xdr:spPr>
        <a:xfrm>
          <a:off x="294951" y="897111"/>
          <a:ext cx="1856200" cy="5690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Inventory</a:t>
          </a:r>
          <a:r>
            <a:rPr lang="en-US" sz="1400" b="1" baseline="0">
              <a:solidFill>
                <a:sysClr val="windowText" lastClr="000000"/>
              </a:solidFill>
            </a:rPr>
            <a:t> Management System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593114</xdr:colOff>
      <xdr:row>6</xdr:row>
      <xdr:rowOff>27630</xdr:rowOff>
    </xdr:from>
    <xdr:to>
      <xdr:col>1</xdr:col>
      <xdr:colOff>1802789</xdr:colOff>
      <xdr:row>8</xdr:row>
      <xdr:rowOff>85851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FA6B2A-1153-4344-B2B6-3C0F297A7BEC}"/>
            </a:ext>
          </a:extLst>
        </xdr:cNvPr>
        <xdr:cNvSpPr/>
      </xdr:nvSpPr>
      <xdr:spPr>
        <a:xfrm>
          <a:off x="914181" y="1632967"/>
          <a:ext cx="1209675" cy="593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593114</xdr:colOff>
      <xdr:row>7</xdr:row>
      <xdr:rowOff>241378</xdr:rowOff>
    </xdr:from>
    <xdr:to>
      <xdr:col>1</xdr:col>
      <xdr:colOff>1793264</xdr:colOff>
      <xdr:row>9</xdr:row>
      <xdr:rowOff>246087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100034-6214-478C-938E-A381CC945F68}"/>
            </a:ext>
          </a:extLst>
        </xdr:cNvPr>
        <xdr:cNvSpPr/>
      </xdr:nvSpPr>
      <xdr:spPr>
        <a:xfrm>
          <a:off x="914181" y="2114271"/>
          <a:ext cx="1200150" cy="5398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593114</xdr:colOff>
      <xdr:row>9</xdr:row>
      <xdr:rowOff>208974</xdr:rowOff>
    </xdr:from>
    <xdr:to>
      <xdr:col>1</xdr:col>
      <xdr:colOff>1793264</xdr:colOff>
      <xdr:row>10</xdr:row>
      <xdr:rowOff>192280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90B2B2-7C47-4B7E-89FD-EFA1FB270892}"/>
            </a:ext>
          </a:extLst>
        </xdr:cNvPr>
        <xdr:cNvSpPr/>
      </xdr:nvSpPr>
      <xdr:spPr>
        <a:xfrm>
          <a:off x="914181" y="2616980"/>
          <a:ext cx="1200150" cy="3471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593114</xdr:colOff>
      <xdr:row>11</xdr:row>
      <xdr:rowOff>69549</xdr:rowOff>
    </xdr:from>
    <xdr:to>
      <xdr:col>1</xdr:col>
      <xdr:colOff>1802789</xdr:colOff>
      <xdr:row>12</xdr:row>
      <xdr:rowOff>181282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34FC76D-B002-4AFA-896C-58DAF812B083}"/>
            </a:ext>
          </a:extLst>
        </xdr:cNvPr>
        <xdr:cNvSpPr/>
      </xdr:nvSpPr>
      <xdr:spPr>
        <a:xfrm>
          <a:off x="914181" y="3108987"/>
          <a:ext cx="1209675" cy="4220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593114</xdr:colOff>
      <xdr:row>13</xdr:row>
      <xdr:rowOff>58550</xdr:rowOff>
    </xdr:from>
    <xdr:to>
      <xdr:col>1</xdr:col>
      <xdr:colOff>1774214</xdr:colOff>
      <xdr:row>15</xdr:row>
      <xdr:rowOff>20451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A731195-FF22-4F49-AB8D-C3A2C36613DC}"/>
            </a:ext>
          </a:extLst>
        </xdr:cNvPr>
        <xdr:cNvSpPr/>
      </xdr:nvSpPr>
      <xdr:spPr>
        <a:xfrm>
          <a:off x="914181" y="3675910"/>
          <a:ext cx="1181100" cy="4970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</a:rPr>
            <a:t>New</a:t>
          </a:r>
          <a:r>
            <a:rPr lang="en-US" sz="1600" b="1" baseline="0">
              <a:solidFill>
                <a:sysClr val="windowText" lastClr="000000"/>
              </a:solidFill>
            </a:rPr>
            <a:t> Entry</a:t>
          </a:r>
          <a:endParaRPr 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593114</xdr:colOff>
      <xdr:row>15</xdr:row>
      <xdr:rowOff>58254</xdr:rowOff>
    </xdr:from>
    <xdr:to>
      <xdr:col>1</xdr:col>
      <xdr:colOff>1755164</xdr:colOff>
      <xdr:row>17</xdr:row>
      <xdr:rowOff>20156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9793444-BF8E-43DD-ACBD-57800ACA841D}"/>
            </a:ext>
          </a:extLst>
        </xdr:cNvPr>
        <xdr:cNvSpPr/>
      </xdr:nvSpPr>
      <xdr:spPr>
        <a:xfrm>
          <a:off x="914181" y="4210726"/>
          <a:ext cx="1162050" cy="4970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593114</xdr:colOff>
      <xdr:row>17</xdr:row>
      <xdr:rowOff>47256</xdr:rowOff>
    </xdr:from>
    <xdr:to>
      <xdr:col>1</xdr:col>
      <xdr:colOff>1755164</xdr:colOff>
      <xdr:row>19</xdr:row>
      <xdr:rowOff>9156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96F5374-94BC-4112-99B2-EFCA2CE7B2C7}"/>
            </a:ext>
          </a:extLst>
        </xdr:cNvPr>
        <xdr:cNvSpPr/>
      </xdr:nvSpPr>
      <xdr:spPr>
        <a:xfrm>
          <a:off x="914181" y="4734840"/>
          <a:ext cx="1162050" cy="4970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593114</xdr:colOff>
      <xdr:row>19</xdr:row>
      <xdr:rowOff>10933</xdr:rowOff>
    </xdr:from>
    <xdr:to>
      <xdr:col>1</xdr:col>
      <xdr:colOff>1755164</xdr:colOff>
      <xdr:row>20</xdr:row>
      <xdr:rowOff>233603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E9F7589-69CE-4C1C-967B-E900F0B8DCD6}"/>
            </a:ext>
          </a:extLst>
        </xdr:cNvPr>
        <xdr:cNvSpPr/>
      </xdr:nvSpPr>
      <xdr:spPr>
        <a:xfrm>
          <a:off x="914181" y="5233630"/>
          <a:ext cx="1162050" cy="4902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2</xdr:col>
      <xdr:colOff>603249</xdr:colOff>
      <xdr:row>1</xdr:row>
      <xdr:rowOff>5517</xdr:rowOff>
    </xdr:from>
    <xdr:to>
      <xdr:col>13</xdr:col>
      <xdr:colOff>670774</xdr:colOff>
      <xdr:row>4</xdr:row>
      <xdr:rowOff>80493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728C9CF-C04B-4298-8F12-61A63E6854F5}"/>
            </a:ext>
          </a:extLst>
        </xdr:cNvPr>
        <xdr:cNvSpPr/>
      </xdr:nvSpPr>
      <xdr:spPr>
        <a:xfrm>
          <a:off x="2776559" y="273827"/>
          <a:ext cx="11524356" cy="879905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 b="1" baseline="0">
              <a:solidFill>
                <a:sysClr val="windowText" lastClr="000000"/>
              </a:solidFill>
            </a:rPr>
            <a:t>   New Entry</a:t>
          </a:r>
          <a:endParaRPr 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606068</xdr:colOff>
      <xdr:row>1</xdr:row>
      <xdr:rowOff>38099</xdr:rowOff>
    </xdr:from>
    <xdr:to>
      <xdr:col>1</xdr:col>
      <xdr:colOff>1220056</xdr:colOff>
      <xdr:row>3</xdr:row>
      <xdr:rowOff>42807</xdr:rowOff>
    </xdr:to>
    <xdr:pic>
      <xdr:nvPicPr>
        <xdr:cNvPr id="12" name="Graphic 11" descr="Search Inventory with solid fill">
          <a:extLst>
            <a:ext uri="{FF2B5EF4-FFF2-40B4-BE49-F238E27FC236}">
              <a16:creationId xmlns:a16="http://schemas.microsoft.com/office/drawing/2014/main" id="{4F608B6E-1E9C-4967-B1C7-12F778EEF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27135" y="305655"/>
          <a:ext cx="613988" cy="539821"/>
        </a:xfrm>
        <a:prstGeom prst="rect">
          <a:avLst/>
        </a:prstGeom>
      </xdr:spPr>
    </xdr:pic>
    <xdr:clientData/>
  </xdr:twoCellAnchor>
  <xdr:twoCellAnchor editAs="absolute">
    <xdr:from>
      <xdr:col>1</xdr:col>
      <xdr:colOff>151223</xdr:colOff>
      <xdr:row>6</xdr:row>
      <xdr:rowOff>50961</xdr:rowOff>
    </xdr:from>
    <xdr:to>
      <xdr:col>1</xdr:col>
      <xdr:colOff>481423</xdr:colOff>
      <xdr:row>7</xdr:row>
      <xdr:rowOff>118471</xdr:rowOff>
    </xdr:to>
    <xdr:pic>
      <xdr:nvPicPr>
        <xdr:cNvPr id="13" name="Graphic 12" descr="Presentation with bar chart with solid fill">
          <a:extLst>
            <a:ext uri="{FF2B5EF4-FFF2-40B4-BE49-F238E27FC236}">
              <a16:creationId xmlns:a16="http://schemas.microsoft.com/office/drawing/2014/main" id="{774BED48-4930-444E-9DAB-FF1376007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2290" y="1656298"/>
          <a:ext cx="330200" cy="335066"/>
        </a:xfrm>
        <a:prstGeom prst="rect">
          <a:avLst/>
        </a:prstGeom>
      </xdr:spPr>
    </xdr:pic>
    <xdr:clientData/>
  </xdr:twoCellAnchor>
  <xdr:twoCellAnchor editAs="absolute">
    <xdr:from>
      <xdr:col>1</xdr:col>
      <xdr:colOff>183329</xdr:colOff>
      <xdr:row>8</xdr:row>
      <xdr:rowOff>5051</xdr:rowOff>
    </xdr:from>
    <xdr:to>
      <xdr:col>1</xdr:col>
      <xdr:colOff>435329</xdr:colOff>
      <xdr:row>8</xdr:row>
      <xdr:rowOff>255426</xdr:rowOff>
    </xdr:to>
    <xdr:pic>
      <xdr:nvPicPr>
        <xdr:cNvPr id="14" name="Graphic 13" descr="User with solid fill">
          <a:extLst>
            <a:ext uri="{FF2B5EF4-FFF2-40B4-BE49-F238E27FC236}">
              <a16:creationId xmlns:a16="http://schemas.microsoft.com/office/drawing/2014/main" id="{1582C6B5-0040-479E-9F21-1451AD787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04396" y="2145500"/>
          <a:ext cx="252000" cy="250375"/>
        </a:xfrm>
        <a:prstGeom prst="rect">
          <a:avLst/>
        </a:prstGeom>
      </xdr:spPr>
    </xdr:pic>
    <xdr:clientData/>
  </xdr:twoCellAnchor>
  <xdr:twoCellAnchor editAs="absolute">
    <xdr:from>
      <xdr:col>1</xdr:col>
      <xdr:colOff>183329</xdr:colOff>
      <xdr:row>9</xdr:row>
      <xdr:rowOff>280380</xdr:rowOff>
    </xdr:from>
    <xdr:to>
      <xdr:col>1</xdr:col>
      <xdr:colOff>435329</xdr:colOff>
      <xdr:row>10</xdr:row>
      <xdr:rowOff>166876</xdr:rowOff>
    </xdr:to>
    <xdr:pic>
      <xdr:nvPicPr>
        <xdr:cNvPr id="15" name="Graphic 14" descr="User outline">
          <a:extLst>
            <a:ext uri="{FF2B5EF4-FFF2-40B4-BE49-F238E27FC236}">
              <a16:creationId xmlns:a16="http://schemas.microsoft.com/office/drawing/2014/main" id="{34292D04-243D-4E32-AC9F-B99293CFF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504396" y="2688386"/>
          <a:ext cx="252000" cy="250372"/>
        </a:xfrm>
        <a:prstGeom prst="rect">
          <a:avLst/>
        </a:prstGeom>
      </xdr:spPr>
    </xdr:pic>
    <xdr:clientData/>
  </xdr:twoCellAnchor>
  <xdr:twoCellAnchor editAs="absolute">
    <xdr:from>
      <xdr:col>1</xdr:col>
      <xdr:colOff>183329</xdr:colOff>
      <xdr:row>11</xdr:row>
      <xdr:rowOff>139498</xdr:rowOff>
    </xdr:from>
    <xdr:to>
      <xdr:col>1</xdr:col>
      <xdr:colOff>435329</xdr:colOff>
      <xdr:row>12</xdr:row>
      <xdr:rowOff>86593</xdr:rowOff>
    </xdr:to>
    <xdr:pic>
      <xdr:nvPicPr>
        <xdr:cNvPr id="16" name="Graphic 15" descr="Inventory outline">
          <a:extLst>
            <a:ext uri="{FF2B5EF4-FFF2-40B4-BE49-F238E27FC236}">
              <a16:creationId xmlns:a16="http://schemas.microsoft.com/office/drawing/2014/main" id="{C0B34226-B3D5-4CE5-BF99-EB5F6347D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04396" y="3178936"/>
          <a:ext cx="252000" cy="257460"/>
        </a:xfrm>
        <a:prstGeom prst="rect">
          <a:avLst/>
        </a:prstGeom>
      </xdr:spPr>
    </xdr:pic>
    <xdr:clientData/>
  </xdr:twoCellAnchor>
  <xdr:twoCellAnchor editAs="absolute">
    <xdr:from>
      <xdr:col>1</xdr:col>
      <xdr:colOff>183329</xdr:colOff>
      <xdr:row>13</xdr:row>
      <xdr:rowOff>134211</xdr:rowOff>
    </xdr:from>
    <xdr:to>
      <xdr:col>1</xdr:col>
      <xdr:colOff>435329</xdr:colOff>
      <xdr:row>14</xdr:row>
      <xdr:rowOff>115400</xdr:rowOff>
    </xdr:to>
    <xdr:pic>
      <xdr:nvPicPr>
        <xdr:cNvPr id="17" name="Graphic 16" descr="Full Brick Wall with solid fill">
          <a:extLst>
            <a:ext uri="{FF2B5EF4-FFF2-40B4-BE49-F238E27FC236}">
              <a16:creationId xmlns:a16="http://schemas.microsoft.com/office/drawing/2014/main" id="{0059F8F6-612C-4610-B21A-5105B17B4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504396" y="3751571"/>
          <a:ext cx="252000" cy="248745"/>
        </a:xfrm>
        <a:prstGeom prst="rect">
          <a:avLst/>
        </a:prstGeom>
      </xdr:spPr>
    </xdr:pic>
    <xdr:clientData/>
  </xdr:twoCellAnchor>
  <xdr:twoCellAnchor editAs="absolute">
    <xdr:from>
      <xdr:col>1</xdr:col>
      <xdr:colOff>183329</xdr:colOff>
      <xdr:row>15</xdr:row>
      <xdr:rowOff>106109</xdr:rowOff>
    </xdr:from>
    <xdr:to>
      <xdr:col>1</xdr:col>
      <xdr:colOff>435329</xdr:colOff>
      <xdr:row>16</xdr:row>
      <xdr:rowOff>95765</xdr:rowOff>
    </xdr:to>
    <xdr:pic>
      <xdr:nvPicPr>
        <xdr:cNvPr id="18" name="Graphic 17" descr="Receipt with solid fill">
          <a:extLst>
            <a:ext uri="{FF2B5EF4-FFF2-40B4-BE49-F238E27FC236}">
              <a16:creationId xmlns:a16="http://schemas.microsoft.com/office/drawing/2014/main" id="{52D34FB5-D6BA-4FF0-8BD2-53DA3B838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04396" y="4258581"/>
          <a:ext cx="252000" cy="257212"/>
        </a:xfrm>
        <a:prstGeom prst="rect">
          <a:avLst/>
        </a:prstGeom>
      </xdr:spPr>
    </xdr:pic>
    <xdr:clientData/>
  </xdr:twoCellAnchor>
  <xdr:twoCellAnchor editAs="absolute">
    <xdr:from>
      <xdr:col>1</xdr:col>
      <xdr:colOff>183329</xdr:colOff>
      <xdr:row>17</xdr:row>
      <xdr:rowOff>99316</xdr:rowOff>
    </xdr:from>
    <xdr:to>
      <xdr:col>1</xdr:col>
      <xdr:colOff>435329</xdr:colOff>
      <xdr:row>18</xdr:row>
      <xdr:rowOff>86831</xdr:rowOff>
    </xdr:to>
    <xdr:pic>
      <xdr:nvPicPr>
        <xdr:cNvPr id="19" name="Graphic 18" descr="Register with solid fill">
          <a:extLst>
            <a:ext uri="{FF2B5EF4-FFF2-40B4-BE49-F238E27FC236}">
              <a16:creationId xmlns:a16="http://schemas.microsoft.com/office/drawing/2014/main" id="{900B7B90-286D-4477-93F5-F0976F564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04396" y="4786900"/>
          <a:ext cx="252000" cy="255071"/>
        </a:xfrm>
        <a:prstGeom prst="rect">
          <a:avLst/>
        </a:prstGeom>
      </xdr:spPr>
    </xdr:pic>
    <xdr:clientData/>
  </xdr:twoCellAnchor>
  <xdr:twoCellAnchor editAs="absolute">
    <xdr:from>
      <xdr:col>1</xdr:col>
      <xdr:colOff>183329</xdr:colOff>
      <xdr:row>19</xdr:row>
      <xdr:rowOff>57096</xdr:rowOff>
    </xdr:from>
    <xdr:to>
      <xdr:col>1</xdr:col>
      <xdr:colOff>435329</xdr:colOff>
      <xdr:row>20</xdr:row>
      <xdr:rowOff>38161</xdr:rowOff>
    </xdr:to>
    <xdr:pic>
      <xdr:nvPicPr>
        <xdr:cNvPr id="20" name="Graphic 19" descr="Clipboard Partially Checked with solid fill">
          <a:extLst>
            <a:ext uri="{FF2B5EF4-FFF2-40B4-BE49-F238E27FC236}">
              <a16:creationId xmlns:a16="http://schemas.microsoft.com/office/drawing/2014/main" id="{C7842508-D1DB-4686-86E2-E5C3B49FD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504396" y="5279793"/>
          <a:ext cx="252000" cy="2486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127396</xdr:colOff>
      <xdr:row>3</xdr:row>
      <xdr:rowOff>184240</xdr:rowOff>
    </xdr:from>
    <xdr:to>
      <xdr:col>1</xdr:col>
      <xdr:colOff>1890117</xdr:colOff>
      <xdr:row>6</xdr:row>
      <xdr:rowOff>-1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164F776-DF16-472D-A2E6-3E1868E618FC}"/>
            </a:ext>
          </a:extLst>
        </xdr:cNvPr>
        <xdr:cNvSpPr/>
      </xdr:nvSpPr>
      <xdr:spPr>
        <a:xfrm>
          <a:off x="544115" y="987912"/>
          <a:ext cx="1762721" cy="6194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Inventory</a:t>
          </a:r>
          <a:r>
            <a:rPr lang="en-US" sz="1400" b="1" baseline="0">
              <a:solidFill>
                <a:sysClr val="windowText" lastClr="000000"/>
              </a:solidFill>
            </a:rPr>
            <a:t> Management System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726558</xdr:colOff>
      <xdr:row>6</xdr:row>
      <xdr:rowOff>261574</xdr:rowOff>
    </xdr:from>
    <xdr:to>
      <xdr:col>1</xdr:col>
      <xdr:colOff>1936233</xdr:colOff>
      <xdr:row>8</xdr:row>
      <xdr:rowOff>223474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DBD1B3-A8C0-4FBE-8A5A-C4993A5C7577}"/>
            </a:ext>
          </a:extLst>
        </xdr:cNvPr>
        <xdr:cNvSpPr/>
      </xdr:nvSpPr>
      <xdr:spPr>
        <a:xfrm>
          <a:off x="1143277" y="1868918"/>
          <a:ext cx="1209675" cy="4976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726558</xdr:colOff>
      <xdr:row>9</xdr:row>
      <xdr:rowOff>14790</xdr:rowOff>
    </xdr:from>
    <xdr:to>
      <xdr:col>1</xdr:col>
      <xdr:colOff>1926708</xdr:colOff>
      <xdr:row>10</xdr:row>
      <xdr:rowOff>244583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7EC6EA-742C-4189-9B22-9167FE333775}"/>
            </a:ext>
          </a:extLst>
        </xdr:cNvPr>
        <xdr:cNvSpPr/>
      </xdr:nvSpPr>
      <xdr:spPr>
        <a:xfrm>
          <a:off x="1143277" y="2425806"/>
          <a:ext cx="1200150" cy="4976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726558</xdr:colOff>
      <xdr:row>11</xdr:row>
      <xdr:rowOff>35899</xdr:rowOff>
    </xdr:from>
    <xdr:to>
      <xdr:col>1</xdr:col>
      <xdr:colOff>1926708</xdr:colOff>
      <xdr:row>12</xdr:row>
      <xdr:rowOff>265690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EBB2BAC-19EF-4A34-A940-7F106054B72E}"/>
            </a:ext>
          </a:extLst>
        </xdr:cNvPr>
        <xdr:cNvSpPr/>
      </xdr:nvSpPr>
      <xdr:spPr>
        <a:xfrm>
          <a:off x="1143277" y="2982696"/>
          <a:ext cx="1200150" cy="4976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726558</xdr:colOff>
      <xdr:row>13</xdr:row>
      <xdr:rowOff>57007</xdr:rowOff>
    </xdr:from>
    <xdr:to>
      <xdr:col>1</xdr:col>
      <xdr:colOff>1936233</xdr:colOff>
      <xdr:row>15</xdr:row>
      <xdr:rowOff>18908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B2ED35-9ADD-4A9F-B6F0-7B6A57D7EF8B}"/>
            </a:ext>
          </a:extLst>
        </xdr:cNvPr>
        <xdr:cNvSpPr/>
      </xdr:nvSpPr>
      <xdr:spPr>
        <a:xfrm>
          <a:off x="1143277" y="3539585"/>
          <a:ext cx="1209675" cy="4976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726558</xdr:colOff>
      <xdr:row>15</xdr:row>
      <xdr:rowOff>78115</xdr:rowOff>
    </xdr:from>
    <xdr:to>
      <xdr:col>1</xdr:col>
      <xdr:colOff>1907658</xdr:colOff>
      <xdr:row>17</xdr:row>
      <xdr:rowOff>40015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1A697B-5024-4259-A014-556925AF3B08}"/>
            </a:ext>
          </a:extLst>
        </xdr:cNvPr>
        <xdr:cNvSpPr/>
      </xdr:nvSpPr>
      <xdr:spPr>
        <a:xfrm>
          <a:off x="1143277" y="4096474"/>
          <a:ext cx="1181100" cy="4976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New</a:t>
          </a:r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 Entry</a:t>
          </a:r>
          <a:endParaRPr lang="en-US" sz="1600" b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</xdr:col>
      <xdr:colOff>726558</xdr:colOff>
      <xdr:row>17</xdr:row>
      <xdr:rowOff>99222</xdr:rowOff>
    </xdr:from>
    <xdr:to>
      <xdr:col>1</xdr:col>
      <xdr:colOff>1888608</xdr:colOff>
      <xdr:row>19</xdr:row>
      <xdr:rowOff>61124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1641E7E-D19B-4E2A-9DEC-7DD6A4AB250A}"/>
            </a:ext>
          </a:extLst>
        </xdr:cNvPr>
        <xdr:cNvSpPr/>
      </xdr:nvSpPr>
      <xdr:spPr>
        <a:xfrm>
          <a:off x="1143277" y="4653363"/>
          <a:ext cx="1162050" cy="4976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</a:rPr>
            <a:t>Purchase</a:t>
          </a:r>
        </a:p>
      </xdr:txBody>
    </xdr:sp>
    <xdr:clientData/>
  </xdr:twoCellAnchor>
  <xdr:twoCellAnchor>
    <xdr:from>
      <xdr:col>1</xdr:col>
      <xdr:colOff>726558</xdr:colOff>
      <xdr:row>19</xdr:row>
      <xdr:rowOff>120331</xdr:rowOff>
    </xdr:from>
    <xdr:to>
      <xdr:col>1</xdr:col>
      <xdr:colOff>1888608</xdr:colOff>
      <xdr:row>21</xdr:row>
      <xdr:rowOff>82232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A73AD76-C794-48CB-B0C1-1836D6BB6FA5}"/>
            </a:ext>
          </a:extLst>
        </xdr:cNvPr>
        <xdr:cNvSpPr/>
      </xdr:nvSpPr>
      <xdr:spPr>
        <a:xfrm>
          <a:off x="1143277" y="5210253"/>
          <a:ext cx="1162050" cy="4976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711675</xdr:colOff>
      <xdr:row>21</xdr:row>
      <xdr:rowOff>119293</xdr:rowOff>
    </xdr:from>
    <xdr:to>
      <xdr:col>1</xdr:col>
      <xdr:colOff>1873725</xdr:colOff>
      <xdr:row>22</xdr:row>
      <xdr:rowOff>267048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D6E8F5E-F7D0-4431-BE53-F03CF3CF43DE}"/>
            </a:ext>
          </a:extLst>
        </xdr:cNvPr>
        <xdr:cNvSpPr/>
      </xdr:nvSpPr>
      <xdr:spPr>
        <a:xfrm>
          <a:off x="1128394" y="5744996"/>
          <a:ext cx="1162050" cy="4156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3</xdr:col>
      <xdr:colOff>0</xdr:colOff>
      <xdr:row>0</xdr:row>
      <xdr:rowOff>268309</xdr:rowOff>
    </xdr:from>
    <xdr:to>
      <xdr:col>10</xdr:col>
      <xdr:colOff>40247</xdr:colOff>
      <xdr:row>4</xdr:row>
      <xdr:rowOff>13416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8A4AB9E-8BE8-4B1D-8B0E-F1EFE4F9DA8F}"/>
            </a:ext>
          </a:extLst>
        </xdr:cNvPr>
        <xdr:cNvSpPr/>
      </xdr:nvSpPr>
      <xdr:spPr>
        <a:xfrm>
          <a:off x="3045317" y="268309"/>
          <a:ext cx="12543486" cy="818346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 b="1" baseline="0">
              <a:solidFill>
                <a:sysClr val="windowText" lastClr="000000"/>
              </a:solidFill>
            </a:rPr>
            <a:t>   Purchase</a:t>
          </a:r>
          <a:endParaRPr 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655817</xdr:colOff>
      <xdr:row>1</xdr:row>
      <xdr:rowOff>19213</xdr:rowOff>
    </xdr:from>
    <xdr:to>
      <xdr:col>1</xdr:col>
      <xdr:colOff>1384100</xdr:colOff>
      <xdr:row>3</xdr:row>
      <xdr:rowOff>178594</xdr:rowOff>
    </xdr:to>
    <xdr:pic>
      <xdr:nvPicPr>
        <xdr:cNvPr id="12" name="Graphic 11" descr="Search Inventory with solid fill">
          <a:extLst>
            <a:ext uri="{FF2B5EF4-FFF2-40B4-BE49-F238E27FC236}">
              <a16:creationId xmlns:a16="http://schemas.microsoft.com/office/drawing/2014/main" id="{1844C086-9433-4517-8081-B78BA5EDC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2536" y="287104"/>
          <a:ext cx="728283" cy="695162"/>
        </a:xfrm>
        <a:prstGeom prst="rect">
          <a:avLst/>
        </a:prstGeom>
      </xdr:spPr>
    </xdr:pic>
    <xdr:clientData/>
  </xdr:twoCellAnchor>
  <xdr:twoCellAnchor editAs="absolute">
    <xdr:from>
      <xdr:col>1</xdr:col>
      <xdr:colOff>299820</xdr:colOff>
      <xdr:row>7</xdr:row>
      <xdr:rowOff>15154</xdr:rowOff>
    </xdr:from>
    <xdr:to>
      <xdr:col>1</xdr:col>
      <xdr:colOff>630020</xdr:colOff>
      <xdr:row>8</xdr:row>
      <xdr:rowOff>67070</xdr:rowOff>
    </xdr:to>
    <xdr:pic>
      <xdr:nvPicPr>
        <xdr:cNvPr id="13" name="Graphic 12" descr="Presentation with bar chart with solid fill">
          <a:extLst>
            <a:ext uri="{FF2B5EF4-FFF2-40B4-BE49-F238E27FC236}">
              <a16:creationId xmlns:a16="http://schemas.microsoft.com/office/drawing/2014/main" id="{118899DF-54FF-4268-9520-3DB3A5EC6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716539" y="1890388"/>
          <a:ext cx="330200" cy="319807"/>
        </a:xfrm>
        <a:prstGeom prst="rect">
          <a:avLst/>
        </a:prstGeom>
      </xdr:spPr>
    </xdr:pic>
    <xdr:clientData/>
  </xdr:twoCellAnchor>
  <xdr:twoCellAnchor editAs="absolute">
    <xdr:from>
      <xdr:col>1</xdr:col>
      <xdr:colOff>299820</xdr:colOff>
      <xdr:row>9</xdr:row>
      <xdr:rowOff>91418</xdr:rowOff>
    </xdr:from>
    <xdr:to>
      <xdr:col>1</xdr:col>
      <xdr:colOff>551820</xdr:colOff>
      <xdr:row>10</xdr:row>
      <xdr:rowOff>68438</xdr:rowOff>
    </xdr:to>
    <xdr:pic>
      <xdr:nvPicPr>
        <xdr:cNvPr id="14" name="Graphic 13" descr="User with solid fill">
          <a:extLst>
            <a:ext uri="{FF2B5EF4-FFF2-40B4-BE49-F238E27FC236}">
              <a16:creationId xmlns:a16="http://schemas.microsoft.com/office/drawing/2014/main" id="{9D8FEA99-37CA-428D-B011-5D3621E2B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716539" y="2502434"/>
          <a:ext cx="252000" cy="244910"/>
        </a:xfrm>
        <a:prstGeom prst="rect">
          <a:avLst/>
        </a:prstGeom>
      </xdr:spPr>
    </xdr:pic>
    <xdr:clientData/>
  </xdr:twoCellAnchor>
  <xdr:twoCellAnchor editAs="absolute">
    <xdr:from>
      <xdr:col>1</xdr:col>
      <xdr:colOff>299820</xdr:colOff>
      <xdr:row>11</xdr:row>
      <xdr:rowOff>80950</xdr:rowOff>
    </xdr:from>
    <xdr:to>
      <xdr:col>1</xdr:col>
      <xdr:colOff>551820</xdr:colOff>
      <xdr:row>12</xdr:row>
      <xdr:rowOff>57966</xdr:rowOff>
    </xdr:to>
    <xdr:pic>
      <xdr:nvPicPr>
        <xdr:cNvPr id="15" name="Graphic 14" descr="User outline">
          <a:extLst>
            <a:ext uri="{FF2B5EF4-FFF2-40B4-BE49-F238E27FC236}">
              <a16:creationId xmlns:a16="http://schemas.microsoft.com/office/drawing/2014/main" id="{3F586B22-39A4-47D4-AB1C-D09A6ED0C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716539" y="3027747"/>
          <a:ext cx="252000" cy="244907"/>
        </a:xfrm>
        <a:prstGeom prst="rect">
          <a:avLst/>
        </a:prstGeom>
      </xdr:spPr>
    </xdr:pic>
    <xdr:clientData/>
  </xdr:twoCellAnchor>
  <xdr:twoCellAnchor editAs="absolute">
    <xdr:from>
      <xdr:col>1</xdr:col>
      <xdr:colOff>299820</xdr:colOff>
      <xdr:row>13</xdr:row>
      <xdr:rowOff>119564</xdr:rowOff>
    </xdr:from>
    <xdr:to>
      <xdr:col>1</xdr:col>
      <xdr:colOff>551820</xdr:colOff>
      <xdr:row>14</xdr:row>
      <xdr:rowOff>96579</xdr:rowOff>
    </xdr:to>
    <xdr:pic>
      <xdr:nvPicPr>
        <xdr:cNvPr id="16" name="Graphic 15" descr="Inventory outline">
          <a:extLst>
            <a:ext uri="{FF2B5EF4-FFF2-40B4-BE49-F238E27FC236}">
              <a16:creationId xmlns:a16="http://schemas.microsoft.com/office/drawing/2014/main" id="{125A06B2-460E-4461-B05C-EB1D2227D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716539" y="3602142"/>
          <a:ext cx="252000" cy="244906"/>
        </a:xfrm>
        <a:prstGeom prst="rect">
          <a:avLst/>
        </a:prstGeom>
      </xdr:spPr>
    </xdr:pic>
    <xdr:clientData/>
  </xdr:twoCellAnchor>
  <xdr:twoCellAnchor editAs="absolute">
    <xdr:from>
      <xdr:col>1</xdr:col>
      <xdr:colOff>299820</xdr:colOff>
      <xdr:row>15</xdr:row>
      <xdr:rowOff>114722</xdr:rowOff>
    </xdr:from>
    <xdr:to>
      <xdr:col>1</xdr:col>
      <xdr:colOff>551820</xdr:colOff>
      <xdr:row>16</xdr:row>
      <xdr:rowOff>98176</xdr:rowOff>
    </xdr:to>
    <xdr:pic>
      <xdr:nvPicPr>
        <xdr:cNvPr id="17" name="Graphic 16" descr="Full Brick Wall with solid fill">
          <a:extLst>
            <a:ext uri="{FF2B5EF4-FFF2-40B4-BE49-F238E27FC236}">
              <a16:creationId xmlns:a16="http://schemas.microsoft.com/office/drawing/2014/main" id="{7E39A681-5D35-44BF-A13F-CF465D2E9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716539" y="4133081"/>
          <a:ext cx="252000" cy="251345"/>
        </a:xfrm>
        <a:prstGeom prst="rect">
          <a:avLst/>
        </a:prstGeom>
      </xdr:spPr>
    </xdr:pic>
    <xdr:clientData/>
  </xdr:twoCellAnchor>
  <xdr:twoCellAnchor editAs="absolute">
    <xdr:from>
      <xdr:col>1</xdr:col>
      <xdr:colOff>299820</xdr:colOff>
      <xdr:row>17</xdr:row>
      <xdr:rowOff>143937</xdr:rowOff>
    </xdr:from>
    <xdr:to>
      <xdr:col>1</xdr:col>
      <xdr:colOff>551820</xdr:colOff>
      <xdr:row>18</xdr:row>
      <xdr:rowOff>125036</xdr:rowOff>
    </xdr:to>
    <xdr:pic>
      <xdr:nvPicPr>
        <xdr:cNvPr id="18" name="Graphic 17" descr="Receipt with solid fill">
          <a:extLst>
            <a:ext uri="{FF2B5EF4-FFF2-40B4-BE49-F238E27FC236}">
              <a16:creationId xmlns:a16="http://schemas.microsoft.com/office/drawing/2014/main" id="{AD6F2957-C2D0-4F0E-B0DE-0F44C58C9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716539" y="4698078"/>
          <a:ext cx="252000" cy="248989"/>
        </a:xfrm>
        <a:prstGeom prst="rect">
          <a:avLst/>
        </a:prstGeom>
      </xdr:spPr>
    </xdr:pic>
    <xdr:clientData/>
  </xdr:twoCellAnchor>
  <xdr:twoCellAnchor editAs="absolute">
    <xdr:from>
      <xdr:col>1</xdr:col>
      <xdr:colOff>299820</xdr:colOff>
      <xdr:row>19</xdr:row>
      <xdr:rowOff>173968</xdr:rowOff>
    </xdr:from>
    <xdr:to>
      <xdr:col>1</xdr:col>
      <xdr:colOff>551820</xdr:colOff>
      <xdr:row>20</xdr:row>
      <xdr:rowOff>160013</xdr:rowOff>
    </xdr:to>
    <xdr:pic>
      <xdr:nvPicPr>
        <xdr:cNvPr id="19" name="Graphic 18" descr="Register with solid fill">
          <a:extLst>
            <a:ext uri="{FF2B5EF4-FFF2-40B4-BE49-F238E27FC236}">
              <a16:creationId xmlns:a16="http://schemas.microsoft.com/office/drawing/2014/main" id="{E2918814-AE00-429D-8431-F92E791AD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716539" y="5263890"/>
          <a:ext cx="252000" cy="253936"/>
        </a:xfrm>
        <a:prstGeom prst="rect">
          <a:avLst/>
        </a:prstGeom>
      </xdr:spPr>
    </xdr:pic>
    <xdr:clientData/>
  </xdr:twoCellAnchor>
  <xdr:twoCellAnchor editAs="absolute">
    <xdr:from>
      <xdr:col>1</xdr:col>
      <xdr:colOff>299820</xdr:colOff>
      <xdr:row>21</xdr:row>
      <xdr:rowOff>195742</xdr:rowOff>
    </xdr:from>
    <xdr:to>
      <xdr:col>1</xdr:col>
      <xdr:colOff>551820</xdr:colOff>
      <xdr:row>22</xdr:row>
      <xdr:rowOff>171006</xdr:rowOff>
    </xdr:to>
    <xdr:pic>
      <xdr:nvPicPr>
        <xdr:cNvPr id="20" name="Graphic 19" descr="Clipboard Partially Checked with solid fill">
          <a:extLst>
            <a:ext uri="{FF2B5EF4-FFF2-40B4-BE49-F238E27FC236}">
              <a16:creationId xmlns:a16="http://schemas.microsoft.com/office/drawing/2014/main" id="{F3759D36-47F5-42FB-9A3E-EB537F44D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716539" y="5821445"/>
          <a:ext cx="252000" cy="2431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203199</xdr:colOff>
      <xdr:row>3</xdr:row>
      <xdr:rowOff>105858</xdr:rowOff>
    </xdr:from>
    <xdr:to>
      <xdr:col>1</xdr:col>
      <xdr:colOff>1851024</xdr:colOff>
      <xdr:row>5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D46ED60-311C-418F-86A1-94B0771F720D}"/>
            </a:ext>
          </a:extLst>
        </xdr:cNvPr>
        <xdr:cNvSpPr/>
      </xdr:nvSpPr>
      <xdr:spPr>
        <a:xfrm>
          <a:off x="609599" y="905958"/>
          <a:ext cx="1647825" cy="59264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300" b="1">
              <a:solidFill>
                <a:sysClr val="windowText" lastClr="000000"/>
              </a:solidFill>
            </a:rPr>
            <a:t>Inventory</a:t>
          </a:r>
          <a:r>
            <a:rPr lang="en-US" sz="1300" b="1" baseline="0">
              <a:solidFill>
                <a:sysClr val="windowText" lastClr="000000"/>
              </a:solidFill>
            </a:rPr>
            <a:t> Management System</a:t>
          </a:r>
          <a:endParaRPr lang="en-US" sz="13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681345</xdr:colOff>
      <xdr:row>6</xdr:row>
      <xdr:rowOff>137001</xdr:rowOff>
    </xdr:from>
    <xdr:to>
      <xdr:col>1</xdr:col>
      <xdr:colOff>1891020</xdr:colOff>
      <xdr:row>8</xdr:row>
      <xdr:rowOff>98901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31255A-9C6C-4802-98D1-C7CE63F5AB0B}"/>
            </a:ext>
          </a:extLst>
        </xdr:cNvPr>
        <xdr:cNvSpPr/>
      </xdr:nvSpPr>
      <xdr:spPr>
        <a:xfrm>
          <a:off x="1091653" y="1719616"/>
          <a:ext cx="1209675" cy="4894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681345</xdr:colOff>
      <xdr:row>8</xdr:row>
      <xdr:rowOff>84839</xdr:rowOff>
    </xdr:from>
    <xdr:to>
      <xdr:col>1</xdr:col>
      <xdr:colOff>1881495</xdr:colOff>
      <xdr:row>10</xdr:row>
      <xdr:rowOff>46740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00A880-5259-4649-9BB2-A226EAE7CF1A}"/>
            </a:ext>
          </a:extLst>
        </xdr:cNvPr>
        <xdr:cNvSpPr/>
      </xdr:nvSpPr>
      <xdr:spPr>
        <a:xfrm>
          <a:off x="1091653" y="2194993"/>
          <a:ext cx="1200150" cy="4894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681345</xdr:colOff>
      <xdr:row>10</xdr:row>
      <xdr:rowOff>105947</xdr:rowOff>
    </xdr:from>
    <xdr:to>
      <xdr:col>1</xdr:col>
      <xdr:colOff>1881495</xdr:colOff>
      <xdr:row>12</xdr:row>
      <xdr:rowOff>67848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8AE82D-EF14-4EAE-9C0B-27B5A37311AF}"/>
            </a:ext>
          </a:extLst>
        </xdr:cNvPr>
        <xdr:cNvSpPr/>
      </xdr:nvSpPr>
      <xdr:spPr>
        <a:xfrm>
          <a:off x="1091653" y="2743639"/>
          <a:ext cx="1200150" cy="4894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681345</xdr:colOff>
      <xdr:row>12</xdr:row>
      <xdr:rowOff>127055</xdr:rowOff>
    </xdr:from>
    <xdr:to>
      <xdr:col>1</xdr:col>
      <xdr:colOff>1891020</xdr:colOff>
      <xdr:row>14</xdr:row>
      <xdr:rowOff>88956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A2AE38-E715-4BFA-9ACA-59D839C9989D}"/>
            </a:ext>
          </a:extLst>
        </xdr:cNvPr>
        <xdr:cNvSpPr/>
      </xdr:nvSpPr>
      <xdr:spPr>
        <a:xfrm>
          <a:off x="1091653" y="3292286"/>
          <a:ext cx="1209675" cy="4894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681345</xdr:colOff>
      <xdr:row>14</xdr:row>
      <xdr:rowOff>148163</xdr:rowOff>
    </xdr:from>
    <xdr:to>
      <xdr:col>1</xdr:col>
      <xdr:colOff>1862445</xdr:colOff>
      <xdr:row>16</xdr:row>
      <xdr:rowOff>110064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A37518-2E88-48F5-8B3D-5E18B98F0DFA}"/>
            </a:ext>
          </a:extLst>
        </xdr:cNvPr>
        <xdr:cNvSpPr/>
      </xdr:nvSpPr>
      <xdr:spPr>
        <a:xfrm>
          <a:off x="1091653" y="3840932"/>
          <a:ext cx="1181100" cy="4894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New</a:t>
          </a:r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 Entry</a:t>
          </a:r>
          <a:endParaRPr lang="en-US" sz="1600" b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</xdr:col>
      <xdr:colOff>681345</xdr:colOff>
      <xdr:row>16</xdr:row>
      <xdr:rowOff>169271</xdr:rowOff>
    </xdr:from>
    <xdr:to>
      <xdr:col>1</xdr:col>
      <xdr:colOff>1843395</xdr:colOff>
      <xdr:row>18</xdr:row>
      <xdr:rowOff>131172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ACC417-E338-4B55-BE53-DC2104C42662}"/>
            </a:ext>
          </a:extLst>
        </xdr:cNvPr>
        <xdr:cNvSpPr/>
      </xdr:nvSpPr>
      <xdr:spPr>
        <a:xfrm>
          <a:off x="1091653" y="4389579"/>
          <a:ext cx="1162050" cy="4894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681345</xdr:colOff>
      <xdr:row>18</xdr:row>
      <xdr:rowOff>190379</xdr:rowOff>
    </xdr:from>
    <xdr:to>
      <xdr:col>1</xdr:col>
      <xdr:colOff>1843395</xdr:colOff>
      <xdr:row>20</xdr:row>
      <xdr:rowOff>152280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B1C422A-D681-4F2B-9797-4769C647CF73}"/>
            </a:ext>
          </a:extLst>
        </xdr:cNvPr>
        <xdr:cNvSpPr/>
      </xdr:nvSpPr>
      <xdr:spPr>
        <a:xfrm>
          <a:off x="1091653" y="4938225"/>
          <a:ext cx="1162050" cy="4894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</a:rPr>
            <a:t>Sales</a:t>
          </a:r>
        </a:p>
      </xdr:txBody>
    </xdr:sp>
    <xdr:clientData/>
  </xdr:twoCellAnchor>
  <xdr:twoCellAnchor>
    <xdr:from>
      <xdr:col>1</xdr:col>
      <xdr:colOff>681345</xdr:colOff>
      <xdr:row>20</xdr:row>
      <xdr:rowOff>139931</xdr:rowOff>
    </xdr:from>
    <xdr:to>
      <xdr:col>1</xdr:col>
      <xdr:colOff>1843395</xdr:colOff>
      <xdr:row>22</xdr:row>
      <xdr:rowOff>20986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50032F9-6E16-461D-B9DB-C5F78C49B52A}"/>
            </a:ext>
          </a:extLst>
        </xdr:cNvPr>
        <xdr:cNvSpPr/>
      </xdr:nvSpPr>
      <xdr:spPr>
        <a:xfrm>
          <a:off x="1091653" y="5415316"/>
          <a:ext cx="1162050" cy="4085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3</xdr:col>
      <xdr:colOff>27886</xdr:colOff>
      <xdr:row>1</xdr:row>
      <xdr:rowOff>29308</xdr:rowOff>
    </xdr:from>
    <xdr:to>
      <xdr:col>12</xdr:col>
      <xdr:colOff>58615</xdr:colOff>
      <xdr:row>3</xdr:row>
      <xdr:rowOff>235572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CE8C2B5-9DDA-4F0D-9C2A-886E587A86AF}"/>
            </a:ext>
          </a:extLst>
        </xdr:cNvPr>
        <xdr:cNvSpPr/>
      </xdr:nvSpPr>
      <xdr:spPr>
        <a:xfrm>
          <a:off x="3090540" y="293077"/>
          <a:ext cx="10962498" cy="733803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 b="1" baseline="0">
              <a:solidFill>
                <a:sysClr val="windowText" lastClr="000000"/>
              </a:solidFill>
            </a:rPr>
            <a:t>   Sales </a:t>
          </a:r>
          <a:endParaRPr 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680244</xdr:colOff>
      <xdr:row>1</xdr:row>
      <xdr:rowOff>19050</xdr:rowOff>
    </xdr:from>
    <xdr:to>
      <xdr:col>1</xdr:col>
      <xdr:colOff>1346200</xdr:colOff>
      <xdr:row>3</xdr:row>
      <xdr:rowOff>152400</xdr:rowOff>
    </xdr:to>
    <xdr:pic>
      <xdr:nvPicPr>
        <xdr:cNvPr id="12" name="Graphic 11" descr="Search Inventory with solid fill">
          <a:extLst>
            <a:ext uri="{FF2B5EF4-FFF2-40B4-BE49-F238E27FC236}">
              <a16:creationId xmlns:a16="http://schemas.microsoft.com/office/drawing/2014/main" id="{181F1D20-952E-4A10-A7C5-EAE8FF536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86644" y="285750"/>
          <a:ext cx="665956" cy="666750"/>
        </a:xfrm>
        <a:prstGeom prst="rect">
          <a:avLst/>
        </a:prstGeom>
      </xdr:spPr>
    </xdr:pic>
    <xdr:clientData/>
  </xdr:twoCellAnchor>
  <xdr:twoCellAnchor editAs="absolute">
    <xdr:from>
      <xdr:col>1</xdr:col>
      <xdr:colOff>259923</xdr:colOff>
      <xdr:row>6</xdr:row>
      <xdr:rowOff>166962</xdr:rowOff>
    </xdr:from>
    <xdr:to>
      <xdr:col>1</xdr:col>
      <xdr:colOff>590123</xdr:colOff>
      <xdr:row>7</xdr:row>
      <xdr:rowOff>214801</xdr:rowOff>
    </xdr:to>
    <xdr:pic>
      <xdr:nvPicPr>
        <xdr:cNvPr id="13" name="Graphic 12" descr="Presentation with bar chart with solid fill">
          <a:extLst>
            <a:ext uri="{FF2B5EF4-FFF2-40B4-BE49-F238E27FC236}">
              <a16:creationId xmlns:a16="http://schemas.microsoft.com/office/drawing/2014/main" id="{19881E9B-189E-4576-8D4D-D18A25794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70231" y="1749577"/>
          <a:ext cx="330200" cy="311609"/>
        </a:xfrm>
        <a:prstGeom prst="rect">
          <a:avLst/>
        </a:prstGeom>
      </xdr:spPr>
    </xdr:pic>
    <xdr:clientData/>
  </xdr:twoCellAnchor>
  <xdr:twoCellAnchor editAs="absolute">
    <xdr:from>
      <xdr:col>1</xdr:col>
      <xdr:colOff>283369</xdr:colOff>
      <xdr:row>8</xdr:row>
      <xdr:rowOff>158546</xdr:rowOff>
    </xdr:from>
    <xdr:to>
      <xdr:col>1</xdr:col>
      <xdr:colOff>535369</xdr:colOff>
      <xdr:row>9</xdr:row>
      <xdr:rowOff>131957</xdr:rowOff>
    </xdr:to>
    <xdr:pic>
      <xdr:nvPicPr>
        <xdr:cNvPr id="14" name="Graphic 13" descr="User with solid fill">
          <a:extLst>
            <a:ext uri="{FF2B5EF4-FFF2-40B4-BE49-F238E27FC236}">
              <a16:creationId xmlns:a16="http://schemas.microsoft.com/office/drawing/2014/main" id="{B51097FC-9AC7-4652-9978-360938D82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89769" y="2292146"/>
          <a:ext cx="252000" cy="240111"/>
        </a:xfrm>
        <a:prstGeom prst="rect">
          <a:avLst/>
        </a:prstGeom>
      </xdr:spPr>
    </xdr:pic>
    <xdr:clientData/>
  </xdr:twoCellAnchor>
  <xdr:twoCellAnchor editAs="absolute">
    <xdr:from>
      <xdr:col>1</xdr:col>
      <xdr:colOff>283369</xdr:colOff>
      <xdr:row>10</xdr:row>
      <xdr:rowOff>136567</xdr:rowOff>
    </xdr:from>
    <xdr:to>
      <xdr:col>1</xdr:col>
      <xdr:colOff>535369</xdr:colOff>
      <xdr:row>11</xdr:row>
      <xdr:rowOff>109974</xdr:rowOff>
    </xdr:to>
    <xdr:pic>
      <xdr:nvPicPr>
        <xdr:cNvPr id="15" name="Graphic 14" descr="User outline">
          <a:extLst>
            <a:ext uri="{FF2B5EF4-FFF2-40B4-BE49-F238E27FC236}">
              <a16:creationId xmlns:a16="http://schemas.microsoft.com/office/drawing/2014/main" id="{133F418C-CAEB-4D44-BB2D-E836B44C3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89769" y="2803567"/>
          <a:ext cx="252000" cy="240107"/>
        </a:xfrm>
        <a:prstGeom prst="rect">
          <a:avLst/>
        </a:prstGeom>
      </xdr:spPr>
    </xdr:pic>
    <xdr:clientData/>
  </xdr:twoCellAnchor>
  <xdr:twoCellAnchor editAs="absolute">
    <xdr:from>
      <xdr:col>1</xdr:col>
      <xdr:colOff>283369</xdr:colOff>
      <xdr:row>12</xdr:row>
      <xdr:rowOff>183245</xdr:rowOff>
    </xdr:from>
    <xdr:to>
      <xdr:col>1</xdr:col>
      <xdr:colOff>535369</xdr:colOff>
      <xdr:row>13</xdr:row>
      <xdr:rowOff>154668</xdr:rowOff>
    </xdr:to>
    <xdr:pic>
      <xdr:nvPicPr>
        <xdr:cNvPr id="16" name="Graphic 15" descr="Inventory outline">
          <a:extLst>
            <a:ext uri="{FF2B5EF4-FFF2-40B4-BE49-F238E27FC236}">
              <a16:creationId xmlns:a16="http://schemas.microsoft.com/office/drawing/2014/main" id="{61A5360D-5472-4934-B5A3-08264C9EA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689769" y="3383645"/>
          <a:ext cx="252000" cy="238123"/>
        </a:xfrm>
        <a:prstGeom prst="rect">
          <a:avLst/>
        </a:prstGeom>
      </xdr:spPr>
    </xdr:pic>
    <xdr:clientData/>
  </xdr:twoCellAnchor>
  <xdr:twoCellAnchor editAs="absolute">
    <xdr:from>
      <xdr:col>1</xdr:col>
      <xdr:colOff>283369</xdr:colOff>
      <xdr:row>14</xdr:row>
      <xdr:rowOff>215237</xdr:rowOff>
    </xdr:from>
    <xdr:to>
      <xdr:col>1</xdr:col>
      <xdr:colOff>535369</xdr:colOff>
      <xdr:row>15</xdr:row>
      <xdr:rowOff>180160</xdr:rowOff>
    </xdr:to>
    <xdr:pic>
      <xdr:nvPicPr>
        <xdr:cNvPr id="17" name="Graphic 16" descr="Full Brick Wall with solid fill">
          <a:extLst>
            <a:ext uri="{FF2B5EF4-FFF2-40B4-BE49-F238E27FC236}">
              <a16:creationId xmlns:a16="http://schemas.microsoft.com/office/drawing/2014/main" id="{8120E287-555D-4475-A4B9-7FC3A194E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689769" y="3949037"/>
          <a:ext cx="252000" cy="231623"/>
        </a:xfrm>
        <a:prstGeom prst="rect">
          <a:avLst/>
        </a:prstGeom>
      </xdr:spPr>
    </xdr:pic>
    <xdr:clientData/>
  </xdr:twoCellAnchor>
  <xdr:twoCellAnchor editAs="absolute">
    <xdr:from>
      <xdr:col>1</xdr:col>
      <xdr:colOff>283369</xdr:colOff>
      <xdr:row>16</xdr:row>
      <xdr:rowOff>226628</xdr:rowOff>
    </xdr:from>
    <xdr:to>
      <xdr:col>1</xdr:col>
      <xdr:colOff>535369</xdr:colOff>
      <xdr:row>17</xdr:row>
      <xdr:rowOff>197573</xdr:rowOff>
    </xdr:to>
    <xdr:pic>
      <xdr:nvPicPr>
        <xdr:cNvPr id="18" name="Graphic 17" descr="Receipt with solid fill">
          <a:extLst>
            <a:ext uri="{FF2B5EF4-FFF2-40B4-BE49-F238E27FC236}">
              <a16:creationId xmlns:a16="http://schemas.microsoft.com/office/drawing/2014/main" id="{61BDF475-B0F3-4731-A67E-584D61684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689769" y="4493828"/>
          <a:ext cx="252000" cy="237645"/>
        </a:xfrm>
        <a:prstGeom prst="rect">
          <a:avLst/>
        </a:prstGeom>
      </xdr:spPr>
    </xdr:pic>
    <xdr:clientData/>
  </xdr:twoCellAnchor>
  <xdr:twoCellAnchor editAs="absolute">
    <xdr:from>
      <xdr:col>1</xdr:col>
      <xdr:colOff>283369</xdr:colOff>
      <xdr:row>18</xdr:row>
      <xdr:rowOff>227582</xdr:rowOff>
    </xdr:from>
    <xdr:to>
      <xdr:col>1</xdr:col>
      <xdr:colOff>535369</xdr:colOff>
      <xdr:row>19</xdr:row>
      <xdr:rowOff>205690</xdr:rowOff>
    </xdr:to>
    <xdr:pic>
      <xdr:nvPicPr>
        <xdr:cNvPr id="19" name="Graphic 18" descr="Register with solid fill">
          <a:extLst>
            <a:ext uri="{FF2B5EF4-FFF2-40B4-BE49-F238E27FC236}">
              <a16:creationId xmlns:a16="http://schemas.microsoft.com/office/drawing/2014/main" id="{801A39B2-2E86-47A3-A342-37E07E52B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689769" y="5028182"/>
          <a:ext cx="252000" cy="244808"/>
        </a:xfrm>
        <a:prstGeom prst="rect">
          <a:avLst/>
        </a:prstGeom>
      </xdr:spPr>
    </xdr:pic>
    <xdr:clientData/>
  </xdr:twoCellAnchor>
  <xdr:twoCellAnchor editAs="absolute">
    <xdr:from>
      <xdr:col>1</xdr:col>
      <xdr:colOff>283369</xdr:colOff>
      <xdr:row>20</xdr:row>
      <xdr:rowOff>180533</xdr:rowOff>
    </xdr:from>
    <xdr:to>
      <xdr:col>1</xdr:col>
      <xdr:colOff>535369</xdr:colOff>
      <xdr:row>21</xdr:row>
      <xdr:rowOff>152190</xdr:rowOff>
    </xdr:to>
    <xdr:pic>
      <xdr:nvPicPr>
        <xdr:cNvPr id="20" name="Graphic 19" descr="Clipboard Partially Checked with solid fill">
          <a:extLst>
            <a:ext uri="{FF2B5EF4-FFF2-40B4-BE49-F238E27FC236}">
              <a16:creationId xmlns:a16="http://schemas.microsoft.com/office/drawing/2014/main" id="{4911294C-064B-4211-A60B-A7B2C9B96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689769" y="5514533"/>
          <a:ext cx="252000" cy="2383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106135</xdr:colOff>
      <xdr:row>3</xdr:row>
      <xdr:rowOff>101322</xdr:rowOff>
    </xdr:from>
    <xdr:to>
      <xdr:col>1</xdr:col>
      <xdr:colOff>1973036</xdr:colOff>
      <xdr:row>5</xdr:row>
      <xdr:rowOff>124732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C984BA4-83C3-4463-8CFA-B701A4E4EFB6}"/>
            </a:ext>
          </a:extLst>
        </xdr:cNvPr>
        <xdr:cNvSpPr/>
      </xdr:nvSpPr>
      <xdr:spPr>
        <a:xfrm>
          <a:off x="491671" y="917751"/>
          <a:ext cx="1866901" cy="5676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Inventory</a:t>
          </a:r>
          <a:r>
            <a:rPr lang="en-US" sz="1400" b="1" baseline="0">
              <a:solidFill>
                <a:sysClr val="windowText" lastClr="000000"/>
              </a:solidFill>
            </a:rPr>
            <a:t> Management System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620253</xdr:colOff>
      <xdr:row>6</xdr:row>
      <xdr:rowOff>61011</xdr:rowOff>
    </xdr:from>
    <xdr:to>
      <xdr:col>1</xdr:col>
      <xdr:colOff>1829928</xdr:colOff>
      <xdr:row>8</xdr:row>
      <xdr:rowOff>22911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8BCC87-EBDB-471E-A42E-EC936E85DD31}"/>
            </a:ext>
          </a:extLst>
        </xdr:cNvPr>
        <xdr:cNvSpPr/>
      </xdr:nvSpPr>
      <xdr:spPr>
        <a:xfrm>
          <a:off x="1005789" y="1693868"/>
          <a:ext cx="1209675" cy="5061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620253</xdr:colOff>
      <xdr:row>8</xdr:row>
      <xdr:rowOff>82118</xdr:rowOff>
    </xdr:from>
    <xdr:to>
      <xdr:col>1</xdr:col>
      <xdr:colOff>1820403</xdr:colOff>
      <xdr:row>10</xdr:row>
      <xdr:rowOff>44018</xdr:rowOff>
    </xdr:to>
    <xdr:sp macro="" textlink="">
      <xdr:nvSpPr>
        <xdr:cNvPr id="4" name="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E5B19A-C806-4411-B2A7-DC8DB69F7EA9}"/>
            </a:ext>
          </a:extLst>
        </xdr:cNvPr>
        <xdr:cNvSpPr/>
      </xdr:nvSpPr>
      <xdr:spPr>
        <a:xfrm>
          <a:off x="1005789" y="2259261"/>
          <a:ext cx="1200150" cy="5061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620253</xdr:colOff>
      <xdr:row>10</xdr:row>
      <xdr:rowOff>103225</xdr:rowOff>
    </xdr:from>
    <xdr:to>
      <xdr:col>1</xdr:col>
      <xdr:colOff>1820403</xdr:colOff>
      <xdr:row>12</xdr:row>
      <xdr:rowOff>65127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876DD0-5CFB-4911-8FD2-08ED791E4BE1}"/>
            </a:ext>
          </a:extLst>
        </xdr:cNvPr>
        <xdr:cNvSpPr/>
      </xdr:nvSpPr>
      <xdr:spPr>
        <a:xfrm>
          <a:off x="1005789" y="2824654"/>
          <a:ext cx="1200150" cy="5061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620253</xdr:colOff>
      <xdr:row>12</xdr:row>
      <xdr:rowOff>124334</xdr:rowOff>
    </xdr:from>
    <xdr:to>
      <xdr:col>1</xdr:col>
      <xdr:colOff>1829928</xdr:colOff>
      <xdr:row>14</xdr:row>
      <xdr:rowOff>86235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AAAFA6-4F96-4443-8AAC-34AA0CB927FA}"/>
            </a:ext>
          </a:extLst>
        </xdr:cNvPr>
        <xdr:cNvSpPr/>
      </xdr:nvSpPr>
      <xdr:spPr>
        <a:xfrm>
          <a:off x="1005789" y="3390048"/>
          <a:ext cx="1209675" cy="5061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620253</xdr:colOff>
      <xdr:row>14</xdr:row>
      <xdr:rowOff>145442</xdr:rowOff>
    </xdr:from>
    <xdr:to>
      <xdr:col>1</xdr:col>
      <xdr:colOff>1801353</xdr:colOff>
      <xdr:row>16</xdr:row>
      <xdr:rowOff>107342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0A48AC5-3C71-4396-91E6-2C0A654873A9}"/>
            </a:ext>
          </a:extLst>
        </xdr:cNvPr>
        <xdr:cNvSpPr/>
      </xdr:nvSpPr>
      <xdr:spPr>
        <a:xfrm>
          <a:off x="1005789" y="3955442"/>
          <a:ext cx="1181100" cy="5061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New</a:t>
          </a:r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 Entry</a:t>
          </a:r>
          <a:endParaRPr lang="en-US" sz="1600" b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</xdr:col>
      <xdr:colOff>620253</xdr:colOff>
      <xdr:row>16</xdr:row>
      <xdr:rowOff>166549</xdr:rowOff>
    </xdr:from>
    <xdr:to>
      <xdr:col>1</xdr:col>
      <xdr:colOff>1782303</xdr:colOff>
      <xdr:row>18</xdr:row>
      <xdr:rowOff>128451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F24B0F1-59F9-4F86-B29F-8E8BF4C79560}"/>
            </a:ext>
          </a:extLst>
        </xdr:cNvPr>
        <xdr:cNvSpPr/>
      </xdr:nvSpPr>
      <xdr:spPr>
        <a:xfrm>
          <a:off x="1005789" y="4520835"/>
          <a:ext cx="1162050" cy="5061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620253</xdr:colOff>
      <xdr:row>18</xdr:row>
      <xdr:rowOff>187658</xdr:rowOff>
    </xdr:from>
    <xdr:to>
      <xdr:col>1</xdr:col>
      <xdr:colOff>1782303</xdr:colOff>
      <xdr:row>20</xdr:row>
      <xdr:rowOff>149559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942C886-2520-493E-A411-96A4257F1C3F}"/>
            </a:ext>
          </a:extLst>
        </xdr:cNvPr>
        <xdr:cNvSpPr/>
      </xdr:nvSpPr>
      <xdr:spPr>
        <a:xfrm>
          <a:off x="1005789" y="5086229"/>
          <a:ext cx="1162050" cy="5061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0">
              <a:solidFill>
                <a:schemeClr val="tx1">
                  <a:lumMod val="65000"/>
                  <a:lumOff val="35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608913</xdr:colOff>
      <xdr:row>20</xdr:row>
      <xdr:rowOff>136302</xdr:rowOff>
    </xdr:from>
    <xdr:to>
      <xdr:col>1</xdr:col>
      <xdr:colOff>1770963</xdr:colOff>
      <xdr:row>22</xdr:row>
      <xdr:rowOff>11914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9D0AD92-E9AD-4F88-855A-CB159036E7E0}"/>
            </a:ext>
          </a:extLst>
        </xdr:cNvPr>
        <xdr:cNvSpPr/>
      </xdr:nvSpPr>
      <xdr:spPr>
        <a:xfrm>
          <a:off x="994449" y="5579159"/>
          <a:ext cx="1162050" cy="41989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</a:rPr>
            <a:t>Inventory</a:t>
          </a:r>
        </a:p>
      </xdr:txBody>
    </xdr:sp>
    <xdr:clientData/>
  </xdr:twoCellAnchor>
  <xdr:twoCellAnchor editAs="absolute">
    <xdr:from>
      <xdr:col>3</xdr:col>
      <xdr:colOff>1</xdr:colOff>
      <xdr:row>1</xdr:row>
      <xdr:rowOff>29342</xdr:rowOff>
    </xdr:from>
    <xdr:to>
      <xdr:col>13</xdr:col>
      <xdr:colOff>331108</xdr:colOff>
      <xdr:row>3</xdr:row>
      <xdr:rowOff>236487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372C85-430E-4FDC-B097-1DFDD98A1DC4}"/>
            </a:ext>
          </a:extLst>
        </xdr:cNvPr>
        <xdr:cNvSpPr/>
      </xdr:nvSpPr>
      <xdr:spPr>
        <a:xfrm>
          <a:off x="3027590" y="301485"/>
          <a:ext cx="11123839" cy="751431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 b="1" baseline="0">
              <a:solidFill>
                <a:sysClr val="windowText" lastClr="000000"/>
              </a:solidFill>
            </a:rPr>
            <a:t>   </a:t>
          </a:r>
          <a:r>
            <a:rPr lang="en-US" sz="2800" b="1">
              <a:solidFill>
                <a:sysClr val="windowText" lastClr="000000"/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691241</xdr:colOff>
      <xdr:row>1</xdr:row>
      <xdr:rowOff>34471</xdr:rowOff>
    </xdr:from>
    <xdr:to>
      <xdr:col>1</xdr:col>
      <xdr:colOff>1394730</xdr:colOff>
      <xdr:row>3</xdr:row>
      <xdr:rowOff>113392</xdr:rowOff>
    </xdr:to>
    <xdr:pic>
      <xdr:nvPicPr>
        <xdr:cNvPr id="12" name="Graphic 11" descr="Search Inventory with solid fill">
          <a:extLst>
            <a:ext uri="{FF2B5EF4-FFF2-40B4-BE49-F238E27FC236}">
              <a16:creationId xmlns:a16="http://schemas.microsoft.com/office/drawing/2014/main" id="{FB61A084-0468-4F66-A9D8-E65544E25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76777" y="306614"/>
          <a:ext cx="703489" cy="623207"/>
        </a:xfrm>
        <a:prstGeom prst="rect">
          <a:avLst/>
        </a:prstGeom>
      </xdr:spPr>
    </xdr:pic>
    <xdr:clientData/>
  </xdr:twoCellAnchor>
  <xdr:twoCellAnchor editAs="absolute">
    <xdr:from>
      <xdr:col>1</xdr:col>
      <xdr:colOff>229960</xdr:colOff>
      <xdr:row>6</xdr:row>
      <xdr:rowOff>60779</xdr:rowOff>
    </xdr:from>
    <xdr:to>
      <xdr:col>1</xdr:col>
      <xdr:colOff>560160</xdr:colOff>
      <xdr:row>7</xdr:row>
      <xdr:rowOff>111793</xdr:rowOff>
    </xdr:to>
    <xdr:pic>
      <xdr:nvPicPr>
        <xdr:cNvPr id="13" name="Graphic 12" descr="Presentation with bar chart with solid fill">
          <a:extLst>
            <a:ext uri="{FF2B5EF4-FFF2-40B4-BE49-F238E27FC236}">
              <a16:creationId xmlns:a16="http://schemas.microsoft.com/office/drawing/2014/main" id="{2196CEFD-8E53-48D7-8794-44F506B1B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15496" y="1693636"/>
          <a:ext cx="330200" cy="323157"/>
        </a:xfrm>
        <a:prstGeom prst="rect">
          <a:avLst/>
        </a:prstGeom>
      </xdr:spPr>
    </xdr:pic>
    <xdr:clientData/>
  </xdr:twoCellAnchor>
  <xdr:twoCellAnchor editAs="absolute">
    <xdr:from>
      <xdr:col>1</xdr:col>
      <xdr:colOff>263978</xdr:colOff>
      <xdr:row>8</xdr:row>
      <xdr:rowOff>118235</xdr:rowOff>
    </xdr:from>
    <xdr:to>
      <xdr:col>1</xdr:col>
      <xdr:colOff>515978</xdr:colOff>
      <xdr:row>9</xdr:row>
      <xdr:rowOff>91645</xdr:rowOff>
    </xdr:to>
    <xdr:pic>
      <xdr:nvPicPr>
        <xdr:cNvPr id="14" name="Graphic 13" descr="User with solid fill">
          <a:extLst>
            <a:ext uri="{FF2B5EF4-FFF2-40B4-BE49-F238E27FC236}">
              <a16:creationId xmlns:a16="http://schemas.microsoft.com/office/drawing/2014/main" id="{F4460A9F-AFC5-4EF9-943C-0BC1B88A2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49514" y="2295378"/>
          <a:ext cx="252000" cy="245553"/>
        </a:xfrm>
        <a:prstGeom prst="rect">
          <a:avLst/>
        </a:prstGeom>
      </xdr:spPr>
    </xdr:pic>
    <xdr:clientData/>
  </xdr:twoCellAnchor>
  <xdr:twoCellAnchor editAs="absolute">
    <xdr:from>
      <xdr:col>1</xdr:col>
      <xdr:colOff>263978</xdr:colOff>
      <xdr:row>10</xdr:row>
      <xdr:rowOff>149492</xdr:rowOff>
    </xdr:from>
    <xdr:to>
      <xdr:col>1</xdr:col>
      <xdr:colOff>515978</xdr:colOff>
      <xdr:row>11</xdr:row>
      <xdr:rowOff>125169</xdr:rowOff>
    </xdr:to>
    <xdr:pic>
      <xdr:nvPicPr>
        <xdr:cNvPr id="15" name="Graphic 14" descr="User outline">
          <a:extLst>
            <a:ext uri="{FF2B5EF4-FFF2-40B4-BE49-F238E27FC236}">
              <a16:creationId xmlns:a16="http://schemas.microsoft.com/office/drawing/2014/main" id="{FE85723B-4B82-4625-9B89-29CF45ABF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49514" y="2870921"/>
          <a:ext cx="252000" cy="247819"/>
        </a:xfrm>
        <a:prstGeom prst="rect">
          <a:avLst/>
        </a:prstGeom>
      </xdr:spPr>
    </xdr:pic>
    <xdr:clientData/>
  </xdr:twoCellAnchor>
  <xdr:twoCellAnchor editAs="absolute">
    <xdr:from>
      <xdr:col>1</xdr:col>
      <xdr:colOff>263978</xdr:colOff>
      <xdr:row>12</xdr:row>
      <xdr:rowOff>171225</xdr:rowOff>
    </xdr:from>
    <xdr:to>
      <xdr:col>1</xdr:col>
      <xdr:colOff>515978</xdr:colOff>
      <xdr:row>13</xdr:row>
      <xdr:rowOff>149585</xdr:rowOff>
    </xdr:to>
    <xdr:pic>
      <xdr:nvPicPr>
        <xdr:cNvPr id="16" name="Graphic 15" descr="Inventory outline">
          <a:extLst>
            <a:ext uri="{FF2B5EF4-FFF2-40B4-BE49-F238E27FC236}">
              <a16:creationId xmlns:a16="http://schemas.microsoft.com/office/drawing/2014/main" id="{03B64C79-7E7A-40CE-8EA6-BF705BA1C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649514" y="3436939"/>
          <a:ext cx="252000" cy="250503"/>
        </a:xfrm>
        <a:prstGeom prst="rect">
          <a:avLst/>
        </a:prstGeom>
      </xdr:spPr>
    </xdr:pic>
    <xdr:clientData/>
  </xdr:twoCellAnchor>
  <xdr:twoCellAnchor editAs="absolute">
    <xdr:from>
      <xdr:col>1</xdr:col>
      <xdr:colOff>263978</xdr:colOff>
      <xdr:row>14</xdr:row>
      <xdr:rowOff>210192</xdr:rowOff>
    </xdr:from>
    <xdr:to>
      <xdr:col>1</xdr:col>
      <xdr:colOff>515978</xdr:colOff>
      <xdr:row>15</xdr:row>
      <xdr:rowOff>177152</xdr:rowOff>
    </xdr:to>
    <xdr:pic>
      <xdr:nvPicPr>
        <xdr:cNvPr id="17" name="Graphic 16" descr="Full Brick Wall with solid fill">
          <a:extLst>
            <a:ext uri="{FF2B5EF4-FFF2-40B4-BE49-F238E27FC236}">
              <a16:creationId xmlns:a16="http://schemas.microsoft.com/office/drawing/2014/main" id="{F2D07BBF-0B92-4E42-874F-FB964335F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649514" y="4020192"/>
          <a:ext cx="252000" cy="239103"/>
        </a:xfrm>
        <a:prstGeom prst="rect">
          <a:avLst/>
        </a:prstGeom>
      </xdr:spPr>
    </xdr:pic>
    <xdr:clientData/>
  </xdr:twoCellAnchor>
  <xdr:twoCellAnchor editAs="absolute">
    <xdr:from>
      <xdr:col>1</xdr:col>
      <xdr:colOff>263978</xdr:colOff>
      <xdr:row>16</xdr:row>
      <xdr:rowOff>203661</xdr:rowOff>
    </xdr:from>
    <xdr:to>
      <xdr:col>1</xdr:col>
      <xdr:colOff>515978</xdr:colOff>
      <xdr:row>17</xdr:row>
      <xdr:rowOff>179089</xdr:rowOff>
    </xdr:to>
    <xdr:pic>
      <xdr:nvPicPr>
        <xdr:cNvPr id="18" name="Graphic 17" descr="Receipt with solid fill">
          <a:extLst>
            <a:ext uri="{FF2B5EF4-FFF2-40B4-BE49-F238E27FC236}">
              <a16:creationId xmlns:a16="http://schemas.microsoft.com/office/drawing/2014/main" id="{FCD5469F-B03B-413A-9576-09D26429E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649514" y="4557947"/>
          <a:ext cx="252000" cy="247571"/>
        </a:xfrm>
        <a:prstGeom prst="rect">
          <a:avLst/>
        </a:prstGeom>
      </xdr:spPr>
    </xdr:pic>
    <xdr:clientData/>
  </xdr:twoCellAnchor>
  <xdr:twoCellAnchor editAs="absolute">
    <xdr:from>
      <xdr:col>1</xdr:col>
      <xdr:colOff>263978</xdr:colOff>
      <xdr:row>18</xdr:row>
      <xdr:rowOff>223330</xdr:rowOff>
    </xdr:from>
    <xdr:to>
      <xdr:col>1</xdr:col>
      <xdr:colOff>515978</xdr:colOff>
      <xdr:row>19</xdr:row>
      <xdr:rowOff>203705</xdr:rowOff>
    </xdr:to>
    <xdr:pic>
      <xdr:nvPicPr>
        <xdr:cNvPr id="19" name="Graphic 18" descr="Register with solid fill">
          <a:extLst>
            <a:ext uri="{FF2B5EF4-FFF2-40B4-BE49-F238E27FC236}">
              <a16:creationId xmlns:a16="http://schemas.microsoft.com/office/drawing/2014/main" id="{2EA176AE-6D59-4DC5-BF28-59E78C4A6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649514" y="5121901"/>
          <a:ext cx="252000" cy="252518"/>
        </a:xfrm>
        <a:prstGeom prst="rect">
          <a:avLst/>
        </a:prstGeom>
      </xdr:spPr>
    </xdr:pic>
    <xdr:clientData/>
  </xdr:twoCellAnchor>
  <xdr:twoCellAnchor editAs="absolute">
    <xdr:from>
      <xdr:col>1</xdr:col>
      <xdr:colOff>263978</xdr:colOff>
      <xdr:row>20</xdr:row>
      <xdr:rowOff>226175</xdr:rowOff>
    </xdr:from>
    <xdr:to>
      <xdr:col>1</xdr:col>
      <xdr:colOff>515978</xdr:colOff>
      <xdr:row>21</xdr:row>
      <xdr:rowOff>197832</xdr:rowOff>
    </xdr:to>
    <xdr:pic>
      <xdr:nvPicPr>
        <xdr:cNvPr id="20" name="Graphic 19" descr="Clipboard Partially Checked with solid fill">
          <a:extLst>
            <a:ext uri="{FF2B5EF4-FFF2-40B4-BE49-F238E27FC236}">
              <a16:creationId xmlns:a16="http://schemas.microsoft.com/office/drawing/2014/main" id="{AF8FB8CA-158B-4109-9F2C-502F26484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649514" y="5669032"/>
          <a:ext cx="252000" cy="2438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jmal" refreshedDate="46053.081085532409" createdVersion="8" refreshedVersion="8" minRefreshableVersion="3" recordCount="17" xr:uid="{7C03D8BD-5143-42FD-99A2-2097ED56561B}">
  <cacheSource type="worksheet">
    <worksheetSource name="SalesData"/>
  </cacheSource>
  <cacheFields count="9">
    <cacheField name="Cust ID" numFmtId="0">
      <sharedItems containsBlank="1"/>
    </cacheField>
    <cacheField name="Cust Name" numFmtId="0">
      <sharedItems count="15">
        <s v="Ali Khan"/>
        <s v="Ahmed Raza"/>
        <s v="Usman Tariq"/>
        <s v="Hassan Ali"/>
        <s v="Salman Ahmed"/>
        <s v="Bilal Hussain"/>
        <s v="Adeel Malik"/>
        <s v="Farhan Iqbal"/>
        <s v="Imran Shah"/>
        <s v="Zubair Ahmad"/>
        <s v="Kamran Akhtar"/>
        <s v="Faisal Mehmood"/>
        <s v="Shahzaib Khan"/>
        <s v="Noman Ali"/>
        <s v=""/>
      </sharedItems>
    </cacheField>
    <cacheField name="HSN Code" numFmtId="0">
      <sharedItems containsBlank="1"/>
    </cacheField>
    <cacheField name="Product Name" numFmtId="0">
      <sharedItems/>
    </cacheField>
    <cacheField name="Date" numFmtId="0">
      <sharedItems containsNonDate="0" containsDate="1" containsString="0" containsBlank="1" minDate="2025-09-10T00:00:00" maxDate="2025-12-24T00:00:00"/>
    </cacheField>
    <cacheField name="Stock(Units)" numFmtId="0">
      <sharedItems containsMixedTypes="1" containsNumber="1" containsInteger="1" minValue="3" maxValue="80"/>
    </cacheField>
    <cacheField name="Units" numFmtId="0">
      <sharedItems containsString="0" containsBlank="1" containsNumber="1" containsInteger="1" minValue="1" maxValue="8"/>
    </cacheField>
    <cacheField name="Price" numFmtId="0">
      <sharedItems containsMixedTypes="1" containsNumber="1" containsInteger="1" minValue="1000" maxValue="112500"/>
    </cacheField>
    <cacheField name="Amount" numFmtId="0">
      <sharedItems containsMixedTypes="1" containsNumber="1" containsInteger="1" minValue="2000" maxValue="3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jmal" refreshedDate="46053.081086342594" createdVersion="8" refreshedVersion="8" minRefreshableVersion="3" recordCount="23" xr:uid="{98667EC2-9B9A-41D7-97B3-2AFDD86D44DB}">
  <cacheSource type="worksheet">
    <worksheetSource name="InventoryData"/>
  </cacheSource>
  <cacheFields count="8">
    <cacheField name="HSN Code" numFmtId="0">
      <sharedItems/>
    </cacheField>
    <cacheField name="Product Name" numFmtId="0">
      <sharedItems count="13">
        <s v="Smart Watch"/>
        <s v="HP Laptop Elitebook i5"/>
        <s v="Wireless Printer"/>
        <s v="Desktop"/>
        <s v="Mouse"/>
        <s v="Rgb Keyboard"/>
        <s v="Camera"/>
        <s v="Headphones"/>
        <s v="Speakers"/>
        <s v="Tablets"/>
        <s v="Airpods"/>
        <s v="Mobile Phone"/>
        <s v=""/>
      </sharedItems>
    </cacheField>
    <cacheField name="Cost" numFmtId="0">
      <sharedItems containsMixedTypes="1" containsNumber="1" containsInteger="1" minValue="800" maxValue="90000"/>
    </cacheField>
    <cacheField name="Purchase Units" numFmtId="0">
      <sharedItems containsString="0" containsBlank="1" containsNumber="1" containsInteger="1" minValue="10" maxValue="85"/>
    </cacheField>
    <cacheField name="Sold Units" numFmtId="0">
      <sharedItems containsString="0" containsBlank="1" containsNumber="1" containsInteger="1" minValue="1" maxValue="11"/>
    </cacheField>
    <cacheField name="Stock " numFmtId="0">
      <sharedItems containsString="0" containsBlank="1" containsNumber="1" containsInteger="1" minValue="3" maxValue="80"/>
    </cacheField>
    <cacheField name="Stock Amount" numFmtId="0">
      <sharedItems containsMixedTypes="1" containsNumber="1" containsInteger="1" minValue="14400" maxValue="810000"/>
    </cacheField>
    <cacheField name="Notifica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jmal" refreshedDate="46053.081086921295" createdVersion="8" refreshedVersion="8" minRefreshableVersion="3" recordCount="15" xr:uid="{F54DD2D6-F56E-4A58-91C5-22EAE37C680B}">
  <cacheSource type="worksheet">
    <worksheetSource name="PurchaseData"/>
  </cacheSource>
  <cacheFields count="7">
    <cacheField name="HSN Code" numFmtId="0">
      <sharedItems/>
    </cacheField>
    <cacheField name="Product Name" numFmtId="0">
      <sharedItems/>
    </cacheField>
    <cacheField name="Vendor" numFmtId="0">
      <sharedItems/>
    </cacheField>
    <cacheField name="Date" numFmtId="165">
      <sharedItems containsSemiMixedTypes="0" containsNonDate="0" containsDate="1" containsString="0" minDate="2025-09-10T00:00:00" maxDate="2025-12-26T00:00:00"/>
    </cacheField>
    <cacheField name="Units" numFmtId="0">
      <sharedItems containsSemiMixedTypes="0" containsString="0" containsNumber="1" containsInteger="1" minValue="10" maxValue="60"/>
    </cacheField>
    <cacheField name="Cost" numFmtId="0">
      <sharedItems containsSemiMixedTypes="0" containsString="0" containsNumber="1" containsInteger="1" minValue="800" maxValue="90000"/>
    </cacheField>
    <cacheField name="Amount" numFmtId="0">
      <sharedItems containsSemiMixedTypes="0" containsString="0" containsNumber="1" containsInteger="1" minValue="15000" maxValue="1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jmal" refreshedDate="46053.081087152779" createdVersion="8" refreshedVersion="8" minRefreshableVersion="3" recordCount="12" xr:uid="{1A9FDF4C-FCC5-4DBA-8B1A-C1B2800A2E40}">
  <cacheSource type="worksheet">
    <worksheetSource name="ProductsData"/>
  </cacheSource>
  <cacheFields count="4">
    <cacheField name="HSN Code" numFmtId="0">
      <sharedItems/>
    </cacheField>
    <cacheField name="Product Name" numFmtId="0">
      <sharedItems/>
    </cacheField>
    <cacheField name="Cost" numFmtId="0">
      <sharedItems containsSemiMixedTypes="0" containsString="0" containsNumber="1" containsInteger="1" minValue="800" maxValue="90000"/>
    </cacheField>
    <cacheField name="Selling Price" numFmtId="0">
      <sharedItems containsSemiMixedTypes="0" containsString="0" containsNumber="1" containsInteger="1" minValue="1000" maxValue="11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Ajmal" refreshedDate="46053.081087384257" createdVersion="8" refreshedVersion="8" minRefreshableVersion="3" recordCount="20" xr:uid="{910931BF-CADE-44B4-B930-87CB207AF32E}">
  <cacheSource type="worksheet">
    <worksheetSource name="CustomersData"/>
  </cacheSource>
  <cacheFields count="6">
    <cacheField name="Customer ID." numFmtId="0">
      <sharedItems/>
    </cacheField>
    <cacheField name="Name " numFmtId="0">
      <sharedItems/>
    </cacheField>
    <cacheField name="Email" numFmtId="0">
      <sharedItems/>
    </cacheField>
    <cacheField name="Phone No" numFmtId="0">
      <sharedItems containsSemiMixedTypes="0" containsString="0" containsNumber="1" containsInteger="1" minValue="3162752483" maxValue="3946117239"/>
    </cacheField>
    <cacheField name="Address" numFmtId="0">
      <sharedItems/>
    </cacheField>
    <cacheField name="City 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CID1001"/>
    <x v="0"/>
    <s v="N10023"/>
    <s v="Wireless Printer"/>
    <d v="2025-09-10T00:00:00"/>
    <n v="14"/>
    <n v="5"/>
    <n v="50000"/>
    <n v="250000"/>
  </r>
  <r>
    <s v="CID1002"/>
    <x v="1"/>
    <s v="N10025"/>
    <s v="Mouse"/>
    <d v="2025-09-11T00:00:00"/>
    <n v="18"/>
    <n v="2"/>
    <n v="1000"/>
    <n v="2000"/>
  </r>
  <r>
    <s v="CID1003"/>
    <x v="2"/>
    <s v="N10026"/>
    <s v="Rgb Keyboard"/>
    <d v="2025-09-12T00:00:00"/>
    <n v="3"/>
    <n v="3"/>
    <n v="7500"/>
    <n v="22500"/>
  </r>
  <r>
    <s v="CID1004"/>
    <x v="3"/>
    <s v="N10027"/>
    <s v="Camera"/>
    <d v="2025-09-13T00:00:00"/>
    <n v="36"/>
    <n v="4"/>
    <n v="15000"/>
    <n v="60000"/>
  </r>
  <r>
    <s v="CID1005"/>
    <x v="4"/>
    <s v="N10028"/>
    <s v="Headphones"/>
    <d v="2025-10-14T00:00:00"/>
    <n v="54"/>
    <n v="6"/>
    <n v="5000"/>
    <n v="30000"/>
  </r>
  <r>
    <s v="CID1006"/>
    <x v="5"/>
    <s v="N10029"/>
    <s v="Speakers"/>
    <d v="2025-10-15T00:00:00"/>
    <n v="12"/>
    <n v="8"/>
    <n v="4375"/>
    <n v="35000"/>
  </r>
  <r>
    <s v="CID1007"/>
    <x v="6"/>
    <s v="N10030"/>
    <s v="Tablets"/>
    <d v="2025-10-16T00:00:00"/>
    <n v="13"/>
    <n v="7"/>
    <n v="22500"/>
    <n v="157500"/>
  </r>
  <r>
    <s v="CID1008"/>
    <x v="7"/>
    <s v="N10031"/>
    <s v="Airpods"/>
    <d v="2025-10-17T00:00:00"/>
    <n v="56"/>
    <n v="4"/>
    <n v="3125"/>
    <n v="12500"/>
  </r>
  <r>
    <s v="CID1009"/>
    <x v="8"/>
    <s v="N10021"/>
    <s v="Smart Watch"/>
    <d v="2025-11-18T00:00:00"/>
    <n v="80"/>
    <n v="5"/>
    <n v="1875"/>
    <n v="9375"/>
  </r>
  <r>
    <s v="CID1010"/>
    <x v="9"/>
    <s v="N10022"/>
    <s v="HP Laptop Elitebook i5"/>
    <d v="2025-11-19T00:00:00"/>
    <n v="8"/>
    <n v="2"/>
    <n v="112500"/>
    <n v="225000"/>
  </r>
  <r>
    <s v="CID1011"/>
    <x v="10"/>
    <s v="N10023"/>
    <s v="Wireless Printer"/>
    <d v="2025-12-20T00:00:00"/>
    <n v="14"/>
    <n v="6"/>
    <n v="50000"/>
    <n v="300000"/>
  </r>
  <r>
    <s v="CID1012"/>
    <x v="11"/>
    <s v="N10024"/>
    <s v="Desktop"/>
    <d v="2025-12-21T00:00:00"/>
    <n v="9"/>
    <n v="1"/>
    <n v="37500"/>
    <n v="37500"/>
  </r>
  <r>
    <s v="CID1013"/>
    <x v="12"/>
    <s v="N10032"/>
    <s v="Mobile Phone"/>
    <d v="2025-12-22T00:00:00"/>
    <n v="27"/>
    <n v="3"/>
    <n v="37500"/>
    <n v="112500"/>
  </r>
  <r>
    <s v="CID1014"/>
    <x v="13"/>
    <s v="N10026"/>
    <s v="Rgb Keyboard"/>
    <d v="2025-12-23T00:00:00"/>
    <n v="3"/>
    <n v="4"/>
    <n v="7500"/>
    <n v="30000"/>
  </r>
  <r>
    <m/>
    <x v="14"/>
    <m/>
    <s v=""/>
    <m/>
    <s v=""/>
    <m/>
    <s v=""/>
    <s v=""/>
  </r>
  <r>
    <m/>
    <x v="14"/>
    <m/>
    <s v=""/>
    <m/>
    <s v=""/>
    <m/>
    <s v=""/>
    <s v=""/>
  </r>
  <r>
    <m/>
    <x v="14"/>
    <m/>
    <s v=""/>
    <m/>
    <s v=""/>
    <m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N10021"/>
    <x v="0"/>
    <n v="1500"/>
    <n v="85"/>
    <n v="5"/>
    <n v="80"/>
    <n v="120000"/>
    <s v=""/>
  </r>
  <r>
    <s v="N10022"/>
    <x v="1"/>
    <n v="90000"/>
    <n v="10"/>
    <n v="2"/>
    <n v="8"/>
    <n v="720000"/>
    <s v=""/>
  </r>
  <r>
    <s v="N10023"/>
    <x v="2"/>
    <n v="40000"/>
    <n v="25"/>
    <n v="11"/>
    <n v="14"/>
    <n v="560000"/>
    <s v=""/>
  </r>
  <r>
    <s v="N10024"/>
    <x v="3"/>
    <n v="30000"/>
    <n v="10"/>
    <n v="1"/>
    <n v="9"/>
    <n v="270000"/>
    <s v=""/>
  </r>
  <r>
    <s v="N10025"/>
    <x v="4"/>
    <n v="800"/>
    <n v="20"/>
    <n v="2"/>
    <n v="18"/>
    <n v="14400"/>
    <s v=""/>
  </r>
  <r>
    <s v="N10026"/>
    <x v="5"/>
    <n v="6000"/>
    <n v="10"/>
    <n v="7"/>
    <n v="3"/>
    <n v="18000"/>
    <s v="📞 Rgb Keyboard Needs to re-order !  PH 9217xxxxxx"/>
  </r>
  <r>
    <s v="N10027"/>
    <x v="6"/>
    <n v="12000"/>
    <n v="40"/>
    <n v="4"/>
    <n v="36"/>
    <n v="432000"/>
    <s v=""/>
  </r>
  <r>
    <s v="N10028"/>
    <x v="7"/>
    <n v="4000"/>
    <n v="60"/>
    <n v="6"/>
    <n v="54"/>
    <n v="216000"/>
    <s v=""/>
  </r>
  <r>
    <s v="N10029"/>
    <x v="8"/>
    <n v="3500"/>
    <n v="20"/>
    <n v="8"/>
    <n v="12"/>
    <n v="42000"/>
    <s v=""/>
  </r>
  <r>
    <s v="N10030"/>
    <x v="9"/>
    <n v="18000"/>
    <n v="20"/>
    <n v="7"/>
    <n v="13"/>
    <n v="234000"/>
    <s v=""/>
  </r>
  <r>
    <s v="N10031"/>
    <x v="10"/>
    <n v="2500"/>
    <n v="60"/>
    <n v="4"/>
    <n v="56"/>
    <n v="140000"/>
    <s v=""/>
  </r>
  <r>
    <s v="N10032"/>
    <x v="11"/>
    <n v="30000"/>
    <n v="30"/>
    <n v="3"/>
    <n v="27"/>
    <n v="810000"/>
    <s v=""/>
  </r>
  <r>
    <s v=""/>
    <x v="12"/>
    <s v=""/>
    <m/>
    <m/>
    <m/>
    <s v=""/>
    <s v=""/>
  </r>
  <r>
    <s v=""/>
    <x v="12"/>
    <s v=""/>
    <m/>
    <m/>
    <m/>
    <s v=""/>
    <s v=""/>
  </r>
  <r>
    <s v=""/>
    <x v="12"/>
    <s v=""/>
    <m/>
    <m/>
    <m/>
    <s v=""/>
    <s v=""/>
  </r>
  <r>
    <s v=""/>
    <x v="12"/>
    <s v=""/>
    <m/>
    <m/>
    <m/>
    <s v=""/>
    <s v=""/>
  </r>
  <r>
    <s v=""/>
    <x v="12"/>
    <s v=""/>
    <m/>
    <m/>
    <m/>
    <s v=""/>
    <s v=""/>
  </r>
  <r>
    <s v=""/>
    <x v="12"/>
    <s v=""/>
    <m/>
    <m/>
    <m/>
    <s v=""/>
    <s v=""/>
  </r>
  <r>
    <s v=""/>
    <x v="12"/>
    <s v=""/>
    <m/>
    <m/>
    <m/>
    <s v=""/>
    <s v=""/>
  </r>
  <r>
    <s v=""/>
    <x v="12"/>
    <s v=""/>
    <m/>
    <m/>
    <m/>
    <s v=""/>
    <s v=""/>
  </r>
  <r>
    <s v=""/>
    <x v="12"/>
    <s v=""/>
    <m/>
    <m/>
    <m/>
    <s v=""/>
    <s v=""/>
  </r>
  <r>
    <s v=""/>
    <x v="12"/>
    <s v=""/>
    <m/>
    <m/>
    <m/>
    <s v=""/>
    <s v=""/>
  </r>
  <r>
    <s v=""/>
    <x v="12"/>
    <s v=""/>
    <m/>
    <m/>
    <m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N10024"/>
    <s v="Desktop"/>
    <s v="GG Traders"/>
    <d v="2025-09-10T00:00:00"/>
    <n v="10"/>
    <n v="30000"/>
    <n v="300000"/>
  </r>
  <r>
    <s v="N10025"/>
    <s v="Mouse"/>
    <s v="GG Traders"/>
    <d v="2025-09-11T00:00:00"/>
    <n v="20"/>
    <n v="800"/>
    <n v="16000"/>
  </r>
  <r>
    <s v="N10021"/>
    <s v="Smart Watch"/>
    <s v="Tech99"/>
    <d v="2025-09-12T00:00:00"/>
    <n v="25"/>
    <n v="1500"/>
    <n v="37500"/>
  </r>
  <r>
    <s v="N10023"/>
    <s v="Wireless Printer"/>
    <s v="Tech99"/>
    <d v="2025-09-13T00:00:00"/>
    <n v="25"/>
    <n v="40000"/>
    <n v="1000000"/>
  </r>
  <r>
    <s v="N10026"/>
    <s v="Rgb Keyboard"/>
    <s v="GG Traders"/>
    <d v="2025-10-14T00:00:00"/>
    <n v="10"/>
    <n v="6000"/>
    <n v="60000"/>
  </r>
  <r>
    <s v="N10021"/>
    <s v="Smart Watch"/>
    <s v="Tech99"/>
    <d v="2025-10-15T00:00:00"/>
    <n v="50"/>
    <n v="1500"/>
    <n v="75000"/>
  </r>
  <r>
    <s v="N10022"/>
    <s v="HP Laptop Elitebook i5"/>
    <s v="Tech99"/>
    <d v="2025-10-16T00:00:00"/>
    <n v="10"/>
    <n v="90000"/>
    <n v="900000"/>
  </r>
  <r>
    <s v="N10028"/>
    <s v="Headphones"/>
    <s v="Compac"/>
    <d v="2025-10-17T00:00:00"/>
    <n v="60"/>
    <n v="4000"/>
    <n v="240000"/>
  </r>
  <r>
    <s v="N10027"/>
    <s v="Camera"/>
    <s v="GG Traders"/>
    <d v="2025-11-18T00:00:00"/>
    <n v="40"/>
    <n v="12000"/>
    <n v="480000"/>
  </r>
  <r>
    <s v="N10031"/>
    <s v="Airpods"/>
    <s v="TechStar"/>
    <d v="2025-11-19T00:00:00"/>
    <n v="30"/>
    <n v="2500"/>
    <n v="75000"/>
  </r>
  <r>
    <s v="N10030"/>
    <s v="Tablets"/>
    <s v="Compac"/>
    <d v="2025-12-20T00:00:00"/>
    <n v="20"/>
    <n v="18000"/>
    <n v="360000"/>
  </r>
  <r>
    <s v="N10031"/>
    <s v="Airpods"/>
    <s v="TechStar"/>
    <d v="2025-12-20T00:00:00"/>
    <n v="30"/>
    <n v="2500"/>
    <n v="75000"/>
  </r>
  <r>
    <s v="N10032"/>
    <s v="Mobile Phone"/>
    <s v="TechStar"/>
    <d v="2025-12-20T00:00:00"/>
    <n v="30"/>
    <n v="30000"/>
    <n v="900000"/>
  </r>
  <r>
    <s v="N10029"/>
    <s v="Speakers"/>
    <s v="Compac"/>
    <d v="2025-12-21T00:00:00"/>
    <n v="20"/>
    <n v="3500"/>
    <n v="70000"/>
  </r>
  <r>
    <s v="N10021"/>
    <s v="Smart Watch"/>
    <s v="Tech99"/>
    <d v="2025-12-25T00:00:00"/>
    <n v="10"/>
    <n v="1500"/>
    <n v="15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N10021"/>
    <s v="Smart Watch"/>
    <n v="1500"/>
    <n v="1875"/>
  </r>
  <r>
    <s v="N10022"/>
    <s v="HP Laptop Elitebook i5"/>
    <n v="90000"/>
    <n v="112500"/>
  </r>
  <r>
    <s v="N10023"/>
    <s v="Wireless Printer"/>
    <n v="40000"/>
    <n v="50000"/>
  </r>
  <r>
    <s v="N10024"/>
    <s v="Desktop"/>
    <n v="30000"/>
    <n v="37500"/>
  </r>
  <r>
    <s v="N10025"/>
    <s v="Mouse"/>
    <n v="800"/>
    <n v="1000"/>
  </r>
  <r>
    <s v="N10026"/>
    <s v="Rgb Keyboard"/>
    <n v="6000"/>
    <n v="7500"/>
  </r>
  <r>
    <s v="N10027"/>
    <s v="Camera"/>
    <n v="12000"/>
    <n v="15000"/>
  </r>
  <r>
    <s v="N10028"/>
    <s v="Headphones"/>
    <n v="4000"/>
    <n v="5000"/>
  </r>
  <r>
    <s v="N10029"/>
    <s v="Speakers"/>
    <n v="3500"/>
    <n v="4375"/>
  </r>
  <r>
    <s v="N10030"/>
    <s v="Tablets"/>
    <n v="18000"/>
    <n v="22500"/>
  </r>
  <r>
    <s v="N10031"/>
    <s v="Airpods"/>
    <n v="2500"/>
    <n v="3125"/>
  </r>
  <r>
    <s v="N10032"/>
    <s v="Mobile Phone"/>
    <n v="30000"/>
    <n v="375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CID1001"/>
    <s v="Ali Khan"/>
    <s v="Ali Khan@gmail.com"/>
    <n v="3475176228"/>
    <s v="House12,Street4,ModelTown,Lahore"/>
    <s v="Lahore"/>
  </r>
  <r>
    <s v="CID1002"/>
    <s v="Ahmed Raza"/>
    <s v="Ahmed Raza@gmail.com"/>
    <n v="3624333411"/>
    <s v="Flat8B,BlockC,Gulshan-e-Iqbal,Karachi"/>
    <s v="Karachi"/>
  </r>
  <r>
    <s v="CID1003"/>
    <s v="Usman Tariq"/>
    <s v="Usman Tariq@gmail.com"/>
    <n v="3222866737"/>
    <s v="Plot56,SectorF-10/2,Islamabad"/>
    <s v="Islamabad"/>
  </r>
  <r>
    <s v="CID1004"/>
    <s v="Hassan Ali"/>
    <s v="Hassan Ali@gmail.com"/>
    <n v="3258889965"/>
    <s v="House23,Street9,JoharTown,Lahore"/>
    <s v="Lahore"/>
  </r>
  <r>
    <s v="CID1005"/>
    <s v="Salman Ahmed"/>
    <s v="Salman Ahmed@gmail.com"/>
    <n v="3501517182"/>
    <s v="Flat3A,Askari5,MalirCantt,Karachi"/>
    <s v="Karachi"/>
  </r>
  <r>
    <s v="CID1006"/>
    <s v="Bilal Hussain"/>
    <s v="Bilal Hussain@gmail.com"/>
    <n v="3934786277"/>
    <s v="House41,Street7,SatelliteTown,Rawalpindi"/>
    <s v="Rawalpindi"/>
  </r>
  <r>
    <s v="CID1007"/>
    <s v="Adeel Malik"/>
    <s v="Adeel Malik@gmail.com"/>
    <n v="3194412670"/>
    <s v="Plot19,Phase6,DHA,Karachi"/>
    <s v="Karachi"/>
  </r>
  <r>
    <s v="CID1008"/>
    <s v="Farhan Iqbal"/>
    <s v="Farhan Iqbal@gmail.com"/>
    <n v="3441307415"/>
    <s v="House88,Street12,G-11/3,Islamabad"/>
    <s v="Islamabad"/>
  </r>
  <r>
    <s v="CID1009"/>
    <s v="Imran Shah"/>
    <s v="Imran Shah@gmail.com"/>
    <n v="3868658723"/>
    <s v="Flat6C,BlockH,NorthNazimabad,Karachi"/>
    <s v="Karachi"/>
  </r>
  <r>
    <s v="CID1010"/>
    <s v="Zubair Ahmad"/>
    <s v="Zubair Ahmad@gmail.com"/>
    <n v="3946117239"/>
    <s v="House14,Street5,WapdaTown,Lahore"/>
    <s v="Lahore"/>
  </r>
  <r>
    <s v="CID1011"/>
    <s v="Kamran Akhtar"/>
    <s v="Kamran Akhtar@gmail.com"/>
    <n v="3162752483"/>
    <s v="Plot32,SectorB,BahriaTown,Lahore"/>
    <s v="Lahore"/>
  </r>
  <r>
    <s v="CID1012"/>
    <s v="Faisal Mehmood"/>
    <s v="Faisal Mehmood@gmail.com"/>
    <n v="3793327772"/>
    <s v="House67,Street3,PWDHousingScheme,Islamabad"/>
    <s v="Islamabad"/>
  </r>
  <r>
    <s v="CID1013"/>
    <s v="Shahzaib Khan"/>
    <s v="Shahzaib Khan@gmail.com"/>
    <n v="3703495746"/>
    <s v="Flat10A,BlockD,PECHS,Karachi"/>
    <s v="Karachi"/>
  </r>
  <r>
    <s v="CID1014"/>
    <s v="Noman Ali"/>
    <s v="Noman Ali@gmail.com"/>
    <n v="3244958691"/>
    <s v="House9,Street11,I-8/4,Islamabad"/>
    <s v="Islamabad"/>
  </r>
  <r>
    <s v="CID1015"/>
    <s v="Danish Rafiq"/>
    <s v="Danish Rafiq@gmail.com"/>
    <n v="3696786223"/>
    <s v="Plot45,Phase2,DHA,Lahore"/>
    <s v="Lahore"/>
  </r>
  <r>
    <s v="CID1016"/>
    <s v="Rizwan Ahmad"/>
    <s v="Rizwan Ahmad@gmail.com"/>
    <n v="3757817717"/>
    <s v="House21,Street6,CanttArea,Multan"/>
    <s v="Multan"/>
  </r>
  <r>
    <s v="CID1017"/>
    <s v="Waqar Yousaf"/>
    <s v="Waqar Yousaf@gmail.com"/>
    <n v="3766420369"/>
    <s v="Flat4B,BlockA,UniversityTown,Peshawar"/>
    <s v="Peshawar"/>
  </r>
  <r>
    <s v="CID1018"/>
    <s v="Saad Siddiqui"/>
    <s v="Saad Siddiqui@gmail.com"/>
    <n v="3167951767"/>
    <s v="House73,Street10,CivilLines,Faisalabad"/>
    <s v="Faisalabad"/>
  </r>
  <r>
    <s v="CID1019"/>
    <s v="Asad Mahmood"/>
    <s v="Asad Mahmood@gmail.com"/>
    <n v="3474454694"/>
    <s v="Plot28,SectorC,BahriaTown,Rawalpindi"/>
    <s v="Rawalpindi"/>
  </r>
  <r>
    <s v="CID1020"/>
    <s v="Hamza Farooq"/>
    <s v="Hamza Farooq@gmail.com"/>
    <n v="3758487181"/>
    <s v="House16,Street8,SaddarArea,Hyderabad"/>
    <s v="Hyderaba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DA3B4F-BD9D-43C8-9611-FFF7BA56A352}" name="Salesdata_PivotTabl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E2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2CBA1-04D6-47C6-AF7E-41A2F1EEB9ED}" name="Inventorydata_PivotTable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A14" firstHeaderRow="1" firstDataRow="1" firstDataCol="0"/>
  <pivotFields count="8"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Stock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4A2E2-E0BE-4976-BED1-133BF2651C5F}" name="Purchasedata_PivotTable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7">
    <pivotField showAll="0"/>
    <pivotField showAll="0"/>
    <pivotField showAll="0"/>
    <pivotField numFmtId="165"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C3CE7-125A-4D20-B5B9-3ED9C69EF6E8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6:B29" firstHeaderRow="1" firstDataRow="1" firstDataCol="1"/>
  <pivotFields count="8">
    <pivotField showAll="0"/>
    <pivotField axis="axisRow" showAll="0" sortType="descending">
      <items count="14">
        <item x="2"/>
        <item x="9"/>
        <item x="8"/>
        <item x="0"/>
        <item x="5"/>
        <item x="4"/>
        <item x="11"/>
        <item x="1"/>
        <item x="7"/>
        <item x="3"/>
        <item x="6"/>
        <item x="10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3">
    <i>
      <x v="3"/>
    </i>
    <i>
      <x v="11"/>
    </i>
    <i>
      <x v="8"/>
    </i>
    <i>
      <x v="10"/>
    </i>
    <i>
      <x v="6"/>
    </i>
    <i>
      <x v="5"/>
    </i>
    <i>
      <x/>
    </i>
    <i>
      <x v="1"/>
    </i>
    <i>
      <x v="2"/>
    </i>
    <i>
      <x v="9"/>
    </i>
    <i>
      <x v="7"/>
    </i>
    <i>
      <x v="4"/>
    </i>
    <i t="grand">
      <x/>
    </i>
  </rowItems>
  <colItems count="1">
    <i/>
  </colItems>
  <dataFields count="1">
    <dataField name="Sum of Stock " fld="5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4EB16-5D12-42B0-A007-E3FA81854C48}" name="Sales_Top 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H7:I13" firstHeaderRow="1" firstDataRow="1" firstDataCol="1"/>
  <pivotFields count="9">
    <pivotField showAll="0"/>
    <pivotField axis="axisRow" showAll="0" measureFilter="1" sortType="descending" defaultSubtotal="0">
      <items count="15">
        <item x="14"/>
        <item x="6"/>
        <item x="1"/>
        <item x="0"/>
        <item x="5"/>
        <item x="11"/>
        <item x="7"/>
        <item x="3"/>
        <item x="8"/>
        <item x="10"/>
        <item x="13"/>
        <item x="4"/>
        <item x="12"/>
        <item x="2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9"/>
    </i>
    <i>
      <x v="3"/>
    </i>
    <i>
      <x v="14"/>
    </i>
    <i>
      <x v="1"/>
    </i>
    <i>
      <x v="12"/>
    </i>
    <i t="grand">
      <x/>
    </i>
  </rowItems>
  <colItems count="1">
    <i/>
  </colItems>
  <dataFields count="1">
    <dataField name="Sum of Amount" fld="8" baseField="1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A6922-7D2D-489E-8FA5-91B07C13BBA1}" name="Productdata_PivotTable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8D964-4558-4FA1-B19F-41594EB56538}" name="Inventory_Top 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7:F13" firstHeaderRow="1" firstDataRow="1" firstDataCol="1"/>
  <pivotFields count="8">
    <pivotField showAll="0"/>
    <pivotField axis="axisRow" showAll="0" measureFilter="1" sortType="descending">
      <items count="14">
        <item x="2"/>
        <item x="9"/>
        <item x="8"/>
        <item x="0"/>
        <item x="5"/>
        <item x="4"/>
        <item x="11"/>
        <item x="1"/>
        <item x="7"/>
        <item x="3"/>
        <item x="6"/>
        <item x="10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2"/>
    </i>
    <i>
      <x v="1"/>
    </i>
    <i>
      <x v="4"/>
    </i>
    <i>
      <x v="8"/>
    </i>
    <i t="grand">
      <x/>
    </i>
  </rowItems>
  <colItems count="1">
    <i/>
  </colItems>
  <dataFields count="1">
    <dataField name="Sum of Sold Units" fld="4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AF079-ADD7-4DEC-8E57-0103A2628A5F}" name="Customerdata_PivotTable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6"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Name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4DE27-BCBA-40D3-BDD3-6E714BDEE3F5}" name="CustomersData" displayName="CustomersData" ref="D7:I27" totalsRowShown="0" headerRowDxfId="52" dataDxfId="51" tableBorderDxfId="50">
  <autoFilter ref="D7:I27" xr:uid="{44F4DE27-BCBA-40D3-BDD3-6E714BDEE3F5}"/>
  <tableColumns count="6">
    <tableColumn id="1" xr3:uid="{5518454F-C545-4B4E-AFB4-36519379C5C4}" name="Customer ID." dataDxfId="49"/>
    <tableColumn id="2" xr3:uid="{A253B994-4D66-409B-8AC2-EFA223059D29}" name="Name " dataDxfId="48"/>
    <tableColumn id="3" xr3:uid="{5F840A56-7DBD-463F-AD17-9086B9C2BCB7}" name="Email" dataDxfId="47">
      <calculatedColumnFormula>E8&amp;"@gmail.com"</calculatedColumnFormula>
    </tableColumn>
    <tableColumn id="4" xr3:uid="{CF64550B-009B-4199-A0D6-B96BA1B733D3}" name="Phone No" dataDxfId="46"/>
    <tableColumn id="5" xr3:uid="{BA168B15-4D9C-43F8-8FF6-EDBFE6AF0823}" name="Address" dataDxfId="45"/>
    <tableColumn id="6" xr3:uid="{F0F18A51-8931-4756-96F1-FB6F699FCD25}" name="City Address" dataDxfId="44">
      <calculatedColumnFormula>TRIM(RIGHT(H8,LEN(H8)-FIND("♦",SUBSTITUTE(H8,",","♦",LEN(H8)-LEN(SUBSTITUTE(H8,",",""))))))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D6CD56-D8E3-40B6-9EBD-8A3E67704AE9}" name="vendorsdata" displayName="vendorsdata" ref="D7:H19" totalsRowShown="0" headerRowDxfId="43" dataDxfId="42">
  <autoFilter ref="D7:H19" xr:uid="{95D6CD56-D8E3-40B6-9EBD-8A3E67704AE9}"/>
  <tableColumns count="5">
    <tableColumn id="1" xr3:uid="{2A5BADC4-1F47-4152-88D6-6B90348281F7}" name="HSN Code" dataDxfId="41"/>
    <tableColumn id="2" xr3:uid="{64450945-24A7-41B3-9461-486ACBB69499}" name="Product Name" dataDxfId="40"/>
    <tableColumn id="3" xr3:uid="{0645D494-F731-4052-8E67-875E4C95CD8C}" name="Vendor Name" dataDxfId="39"/>
    <tableColumn id="4" xr3:uid="{C4CA953B-37B1-4E26-AF34-02FE384A348E}" name="Phone" dataDxfId="38"/>
    <tableColumn id="5" xr3:uid="{1F5B96A9-92FD-454C-868B-AE24266D1E83}" name="Address" dataDxfId="3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222D1D-22C8-4172-87BD-04803B01B43F}" name="ProductsData" displayName="ProductsData" ref="D7:G19" totalsRowShown="0" headerRowDxfId="36" dataDxfId="35" tableBorderDxfId="34">
  <autoFilter ref="D7:G19" xr:uid="{C5222D1D-22C8-4172-87BD-04803B01B43F}"/>
  <tableColumns count="4">
    <tableColumn id="1" xr3:uid="{28D0FE86-8D60-4575-9C9E-A9D00DF6DF88}" name="HSN Code" dataDxfId="33"/>
    <tableColumn id="2" xr3:uid="{D9BC56CB-59FB-4C9C-90D3-C5C5CB71A613}" name="Product Name" dataDxfId="32"/>
    <tableColumn id="3" xr3:uid="{EB2A710F-E222-4E7A-94DD-EBC0BFE21371}" name="Cost" dataDxfId="31">
      <calculatedColumnFormula array="1">_xlfn.IFS(E8="Smart Watch",1500, E8="HP Laptop Elitebook i5",90000, E8="Wireless Printer",40000, E8="Desktop",30000, E8="Mouse",800, E8="Rgb Keyboard",6000, E8="Camera",12000, E8="Headphones",4000, E8="Speakers",3500, E8="Tablets",18000, E8="Airpods",2500, E8="Mobile Phone",30000)</calculatedColumnFormula>
    </tableColumn>
    <tableColumn id="4" xr3:uid="{9D6B69DA-0508-4B7B-A542-2813BFD22B73}" name="Selling Price" dataDxfId="30">
      <calculatedColumnFormula>F8 + F8*25%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DEF87F-04EE-4644-AD43-475F5133EE89}" name="PurchaseData" displayName="PurchaseData" ref="D7:J22" totalsRowShown="0" headerRowDxfId="29" dataDxfId="28">
  <autoFilter ref="D7:J22" xr:uid="{EEDEF87F-04EE-4644-AD43-475F5133EE89}"/>
  <tableColumns count="7">
    <tableColumn id="1" xr3:uid="{E3F1BA54-AEF9-40B5-9A9B-789A4096F757}" name="HSN Code" dataDxfId="27"/>
    <tableColumn id="2" xr3:uid="{E95E4C54-FD40-4032-9051-F28011103708}" name="Product Name" dataDxfId="26">
      <calculatedColumnFormula>IFERROR(VLOOKUP(PurchaseData[[#This Row],[HSN Code]],ProductsData[#All],2,0),"")</calculatedColumnFormula>
    </tableColumn>
    <tableColumn id="3" xr3:uid="{7F412DC1-BE59-485B-9FD2-E87FFC11CA6B}" name="Vendor" dataDxfId="25">
      <calculatedColumnFormula>IFERROR(VLOOKUP(PurchaseData[[#This Row],[HSN Code]],vendorsdata[#All],3,0),"")</calculatedColumnFormula>
    </tableColumn>
    <tableColumn id="4" xr3:uid="{9F88AF27-93FB-4FB3-A426-1DDD17F25C9C}" name="Date" dataDxfId="24"/>
    <tableColumn id="5" xr3:uid="{D4E3BB34-FD0E-4282-8B75-DB7A3FBD2D4F}" name="Units" dataDxfId="23"/>
    <tableColumn id="6" xr3:uid="{B7FFD800-D641-42EB-9DDA-5305430607B8}" name="Cost" dataDxfId="22">
      <calculatedColumnFormula>IFERROR(VLOOKUP(PurchaseData[[#This Row],[HSN Code]],ProductsData[#All],3,0),"")</calculatedColumnFormula>
    </tableColumn>
    <tableColumn id="7" xr3:uid="{23CB1438-DA9A-4939-8173-CBD556238576}" name="Amount" dataDxfId="21">
      <calculatedColumnFormula>IFERROR(PurchaseData[[#This Row],[Units]]*PurchaseData[[#This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CB0063-FFF2-4CF3-BD71-75DF9B9A1384}" name="SalesData" displayName="SalesData" ref="D6:L23" totalsRowShown="0" headerRowDxfId="20" dataDxfId="19">
  <autoFilter ref="D6:L23" xr:uid="{0ACB0063-FFF2-4CF3-BD71-75DF9B9A1384}"/>
  <tableColumns count="9">
    <tableColumn id="1" xr3:uid="{AEA04C05-3C8A-417B-8C93-FEA8458C3C87}" name="Cust ID" dataDxfId="18"/>
    <tableColumn id="2" xr3:uid="{FE01EAE8-2F85-412F-8AC1-D6AF3777548B}" name="Cust Name" dataDxfId="17">
      <calculatedColumnFormula>IFERROR(VLOOKUP(SalesData[[#This Row],[Cust ID]],CustomersData[#All],2,0),"")</calculatedColumnFormula>
    </tableColumn>
    <tableColumn id="3" xr3:uid="{38E30623-D8C0-4471-A37F-7435EB198718}" name="HSN Code" dataDxfId="16"/>
    <tableColumn id="4" xr3:uid="{27CB8C8B-1FE7-49FD-8E81-976D0AFA9BC7}" name="Product Name" dataDxfId="15">
      <calculatedColumnFormula>IFERROR(VLOOKUP(SalesData[[#This Row],[HSN Code]],ProductsData[#All],2,0),"")</calculatedColumnFormula>
    </tableColumn>
    <tableColumn id="5" xr3:uid="{8193506F-F54D-4362-AC9E-8ACBBB0D6E1E}" name="Date" dataDxfId="14"/>
    <tableColumn id="6" xr3:uid="{7A877F15-0AB7-4FFB-82F0-3DBD19C92A67}" name="Stock(Units)" dataDxfId="13">
      <calculatedColumnFormula>IFERROR(VLOOKUP(SalesData[[#This Row],[HSN Code]],InventoryData[#All],6,0),"")</calculatedColumnFormula>
    </tableColumn>
    <tableColumn id="7" xr3:uid="{283B43C8-C1B8-4EAE-A5B8-2CE53C12A116}" name="Units" dataDxfId="12"/>
    <tableColumn id="8" xr3:uid="{004DA682-A510-4DB4-A6F2-46A6B6261582}" name="Price" dataDxfId="11">
      <calculatedColumnFormula>IFERROR(VLOOKUP(SalesData[[#This Row],[HSN Code]],ProductsData[#All],4,0),"")</calculatedColumnFormula>
    </tableColumn>
    <tableColumn id="9" xr3:uid="{61024017-DCED-4925-963E-4DF75C60BF02}" name="Amount" dataDxfId="10">
      <calculatedColumnFormula>IFERROR(SalesData[[#This Row],[Units]]*SalesData[[#This Row],[Price]],"")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FA697A4-8D34-41B8-A4C8-22D003EE3552}" name="InventoryData" displayName="InventoryData" ref="D7:K30" totalsRowShown="0" headerRowDxfId="9" dataDxfId="8">
  <autoFilter ref="D7:K30" xr:uid="{9FA697A4-8D34-41B8-A4C8-22D003EE3552}"/>
  <tableColumns count="8">
    <tableColumn id="1" xr3:uid="{E64AA9A0-CDF9-40D0-ACB5-C9B6B60A20A8}" name="HSN Code" dataDxfId="7">
      <calculatedColumnFormula>IFERROR(ProductsData[[#This Row],[HSN Code]],"")</calculatedColumnFormula>
    </tableColumn>
    <tableColumn id="2" xr3:uid="{BC067758-88DE-487F-B8DB-CDBF4DA7582D}" name="Product Name" dataDxfId="6">
      <calculatedColumnFormula>IFERROR(ProductsData[[#This Row],[Product Name]],"")</calculatedColumnFormula>
    </tableColumn>
    <tableColumn id="3" xr3:uid="{CA4C334D-CA54-4239-8FB5-F4A4F3419F13}" name="Cost" dataDxfId="5">
      <calculatedColumnFormula>IFERROR(ProductsData[[#This Row],[Cost]],"")</calculatedColumnFormula>
    </tableColumn>
    <tableColumn id="4" xr3:uid="{E84C9EA5-DAA6-4E89-BEC5-15BC03745F94}" name="Purchase Units" dataDxfId="4">
      <calculatedColumnFormula>SUMIF(PurchaseData[Product Name],InventoryData[[#This Row],[Product Name]],PurchaseData[Units])</calculatedColumnFormula>
    </tableColumn>
    <tableColumn id="5" xr3:uid="{7BDA3FD4-4D12-47F7-BF44-D913F3F308EC}" name="Sold Units" dataDxfId="3">
      <calculatedColumnFormula>SUMIF(SalesData[Product Name],InventoryData[[#This Row],[Product Name]],SalesData[Units])</calculatedColumnFormula>
    </tableColumn>
    <tableColumn id="6" xr3:uid="{60811CD8-2BD1-4A3A-9909-A7A47349B21B}" name="Stock " dataDxfId="2">
      <calculatedColumnFormula>InventoryData[[#This Row],[Purchase Units]]-InventoryData[[#This Row],[Sold Units]]</calculatedColumnFormula>
    </tableColumn>
    <tableColumn id="7" xr3:uid="{2F196ABE-E5EE-4D36-A990-A2291C388417}" name="Stock Amount" dataDxfId="1">
      <calculatedColumnFormula>IFERROR(InventoryData[[#This Row],[Stock ]]*InventoryData[[#This Row],[Cost]],"")</calculatedColumnFormula>
    </tableColumn>
    <tableColumn id="8" xr3:uid="{61D506E7-4AFC-4702-B6C1-30B61F4885B9}" name="Notifications" dataDxfId="0">
      <calculatedColumnFormula>IFERROR(IF(InventoryData[[#This Row],[Stock ]]&lt;5,"📞 "&amp;InventoryData[[#This Row],[Product Name]]&amp;" Needs to re-order !  PH "&amp;VLOOKUP(InventoryData[[#This Row],[HSN Code]],vendorsdata[#All],4,0),""),"")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122D-7680-4F23-95C2-71F5FD795944}">
  <dimension ref="A1:X35"/>
  <sheetViews>
    <sheetView tabSelected="1" zoomScale="60" workbookViewId="0">
      <selection activeCell="Q12" sqref="Q12"/>
    </sheetView>
  </sheetViews>
  <sheetFormatPr defaultRowHeight="21" x14ac:dyDescent="0.35"/>
  <cols>
    <col min="1" max="1" width="3.90625" customWidth="1"/>
    <col min="2" max="2" width="18.90625" customWidth="1"/>
    <col min="3" max="3" width="5.453125" customWidth="1"/>
    <col min="4" max="4" width="17.7265625" customWidth="1"/>
    <col min="5" max="5" width="16.36328125" customWidth="1"/>
    <col min="6" max="6" width="15.90625" customWidth="1"/>
    <col min="7" max="7" width="15.6328125" customWidth="1"/>
    <col min="8" max="8" width="15.453125" customWidth="1"/>
    <col min="12" max="12" width="12.453125" customWidth="1"/>
    <col min="14" max="14" width="13.81640625" customWidth="1"/>
  </cols>
  <sheetData>
    <row r="1" spans="1:24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23.25" customHeight="1" x14ac:dyDescent="0.35">
      <c r="A2" s="4"/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35">
      <c r="A3" s="4"/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35">
      <c r="A4" s="4"/>
      <c r="B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35">
      <c r="A5" s="4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5">
      <c r="A6" s="4"/>
      <c r="B6" s="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35">
      <c r="A7" s="4"/>
      <c r="B7" s="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5">
      <c r="A8" s="4"/>
      <c r="B8" s="2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35">
      <c r="A9" s="4"/>
      <c r="B9" s="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22.5" customHeight="1" x14ac:dyDescent="0.35">
      <c r="A10" s="4"/>
      <c r="B10" s="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32.25" customHeight="1" x14ac:dyDescent="0.5">
      <c r="A11" s="4"/>
      <c r="B11" s="2"/>
      <c r="C11" s="4"/>
      <c r="D11" s="4"/>
      <c r="E11" s="4"/>
      <c r="F11" s="4"/>
      <c r="G11" s="4"/>
      <c r="H11" s="4"/>
      <c r="I11" s="4"/>
      <c r="J11" s="37" t="s">
        <v>150</v>
      </c>
      <c r="K11" s="37"/>
      <c r="L11" s="37"/>
      <c r="M11" s="37"/>
      <c r="N11" s="37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30" customHeight="1" x14ac:dyDescent="0.35">
      <c r="A12" s="4"/>
      <c r="B12" s="2"/>
      <c r="C12" s="4"/>
      <c r="D12" s="4"/>
      <c r="E12" s="4"/>
      <c r="F12" s="4"/>
      <c r="G12" s="4"/>
      <c r="H12" s="4"/>
      <c r="I12" s="4"/>
      <c r="J12" t="str" cm="1">
        <f t="array" ref="J12:J13">_xlfn._xlws.FILTER(InventoryData[Notifications],InventoryData[Notifications]&lt;&gt;"")</f>
        <v>📞 Desktop Needs to re-order !  PH 9215xxxxxx</v>
      </c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30" customHeight="1" x14ac:dyDescent="0.35">
      <c r="A13" s="4"/>
      <c r="B13" s="2"/>
      <c r="C13" s="4"/>
      <c r="D13" s="4"/>
      <c r="E13" s="4"/>
      <c r="F13" s="4"/>
      <c r="G13" s="4"/>
      <c r="H13" s="4"/>
      <c r="I13" s="4"/>
      <c r="J13" s="2" t="str">
        <v>📞 Rgb Keyboard Needs to re-order !  PH 9217xxxxxx</v>
      </c>
      <c r="K13" s="2"/>
      <c r="L13" s="2"/>
      <c r="M13" s="2"/>
      <c r="N13" s="2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s="35" customFormat="1" ht="30" customHeight="1" x14ac:dyDescent="0.35">
      <c r="A14" s="33"/>
      <c r="B14" s="34"/>
      <c r="C14" s="33"/>
      <c r="D14" s="33"/>
      <c r="E14" s="33"/>
      <c r="F14" s="33"/>
      <c r="G14" s="33"/>
      <c r="H14" s="33"/>
      <c r="I14" s="33"/>
      <c r="J14" s="36"/>
      <c r="K14" s="34"/>
      <c r="L14" s="34"/>
      <c r="M14" s="34"/>
      <c r="N14" s="34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30" customHeight="1" x14ac:dyDescent="0.35">
      <c r="A15" s="4"/>
      <c r="B15" s="2"/>
      <c r="C15" s="4"/>
      <c r="D15" s="4"/>
      <c r="E15" s="4"/>
      <c r="F15" s="4"/>
      <c r="G15" s="4"/>
      <c r="H15" s="4"/>
      <c r="I15" s="4"/>
      <c r="J15" s="2"/>
      <c r="K15" s="2"/>
      <c r="L15" s="2"/>
      <c r="M15" s="2"/>
      <c r="N15" s="2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30" customHeight="1" x14ac:dyDescent="0.35">
      <c r="A16" s="4"/>
      <c r="B16" s="2"/>
      <c r="C16" s="4"/>
      <c r="D16" s="4"/>
      <c r="E16" s="4"/>
      <c r="F16" s="4"/>
      <c r="G16" s="4"/>
      <c r="H16" s="4"/>
      <c r="I16" s="4"/>
      <c r="J16" s="2"/>
      <c r="K16" s="2"/>
      <c r="L16" s="2"/>
      <c r="M16" s="2"/>
      <c r="N16" s="2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30" customHeight="1" x14ac:dyDescent="0.35">
      <c r="A17" s="4"/>
      <c r="B17" s="2"/>
      <c r="C17" s="4"/>
      <c r="D17" s="4"/>
      <c r="E17" s="4"/>
      <c r="F17" s="4"/>
      <c r="G17" s="4"/>
      <c r="H17" s="4"/>
      <c r="I17" s="4"/>
      <c r="J17" s="2"/>
      <c r="K17" s="2"/>
      <c r="L17" s="2"/>
      <c r="M17" s="2"/>
      <c r="N17" s="2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30" customHeight="1" x14ac:dyDescent="0.35">
      <c r="A18" s="4"/>
      <c r="B18" s="2"/>
      <c r="C18" s="4"/>
      <c r="D18" s="4"/>
      <c r="E18" s="4"/>
      <c r="F18" s="4"/>
      <c r="G18" s="4"/>
      <c r="H18" s="4"/>
      <c r="I18" s="4"/>
      <c r="J18" s="2"/>
      <c r="K18" s="2"/>
      <c r="L18" s="2"/>
      <c r="M18" s="2"/>
      <c r="N18" s="2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30" customHeight="1" x14ac:dyDescent="0.35">
      <c r="A19" s="4"/>
      <c r="B19" s="2"/>
      <c r="C19" s="4"/>
      <c r="D19" s="4"/>
      <c r="E19" s="4"/>
      <c r="F19" s="4"/>
      <c r="G19" s="4"/>
      <c r="H19" s="4"/>
      <c r="I19" s="4"/>
      <c r="J19" s="2"/>
      <c r="K19" s="2"/>
      <c r="L19" s="2"/>
      <c r="M19" s="2"/>
      <c r="N19" s="2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30" customHeight="1" x14ac:dyDescent="0.35">
      <c r="A20" s="4"/>
      <c r="B20" s="2"/>
      <c r="C20" s="4"/>
      <c r="D20" s="4"/>
      <c r="E20" s="4"/>
      <c r="F20" s="4"/>
      <c r="G20" s="4"/>
      <c r="H20" s="4"/>
      <c r="I20" s="4"/>
      <c r="J20" s="2"/>
      <c r="K20" s="2"/>
      <c r="L20" s="2"/>
      <c r="M20" s="2"/>
      <c r="N20" s="2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30" customHeight="1" x14ac:dyDescent="0.35">
      <c r="A21" s="4"/>
      <c r="B21" s="2"/>
      <c r="C21" s="4"/>
      <c r="D21" s="4"/>
      <c r="E21" s="4"/>
      <c r="F21" s="4"/>
      <c r="G21" s="4"/>
      <c r="H21" s="4"/>
      <c r="I21" s="4"/>
      <c r="J21" s="2"/>
      <c r="K21" s="2"/>
      <c r="L21" s="2"/>
      <c r="M21" s="2"/>
      <c r="N21" s="2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30" customHeight="1" x14ac:dyDescent="0.35">
      <c r="A22" s="4"/>
      <c r="B22" s="2"/>
      <c r="C22" s="4"/>
      <c r="D22" s="4"/>
      <c r="E22" s="4"/>
      <c r="F22" s="4"/>
      <c r="G22" s="4"/>
      <c r="H22" s="4"/>
      <c r="I22" s="4"/>
      <c r="J22" s="2"/>
      <c r="K22" s="2"/>
      <c r="L22" s="2"/>
      <c r="M22" s="2"/>
      <c r="N22" s="2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30" customHeight="1" x14ac:dyDescent="0.35">
      <c r="A23" s="4"/>
      <c r="B23" s="2"/>
      <c r="C23" s="4"/>
      <c r="D23" s="4"/>
      <c r="E23" s="4"/>
      <c r="F23" s="4"/>
      <c r="G23" s="4"/>
      <c r="H23" s="4"/>
      <c r="I23" s="4"/>
      <c r="J23" s="2"/>
      <c r="K23" s="2"/>
      <c r="L23" s="2"/>
      <c r="M23" s="2"/>
      <c r="N23" s="2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30" customHeight="1" x14ac:dyDescent="0.35">
      <c r="A24" s="4"/>
      <c r="B24" s="2"/>
      <c r="C24" s="4"/>
      <c r="D24" s="4"/>
      <c r="E24" s="4"/>
      <c r="F24" s="4"/>
      <c r="G24" s="4"/>
      <c r="H24" s="4"/>
      <c r="I24" s="4"/>
      <c r="J24" s="2"/>
      <c r="K24" s="2"/>
      <c r="L24" s="2"/>
      <c r="M24" s="2"/>
      <c r="N24" s="2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30" customHeight="1" x14ac:dyDescent="0.35">
      <c r="A25" s="4"/>
      <c r="B25" s="2"/>
      <c r="C25" s="4"/>
      <c r="D25" s="4"/>
      <c r="E25" s="4"/>
      <c r="F25" s="4"/>
      <c r="G25" s="4"/>
      <c r="H25" s="4"/>
      <c r="I25" s="4"/>
      <c r="J25" s="2"/>
      <c r="K25" s="2"/>
      <c r="L25" s="2"/>
      <c r="M25" s="2"/>
      <c r="N25" s="2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30" customHeight="1" x14ac:dyDescent="0.35">
      <c r="A26" s="4"/>
      <c r="B26" s="2"/>
      <c r="C26" s="4"/>
      <c r="D26" s="4"/>
      <c r="E26" s="4"/>
      <c r="F26" s="4"/>
      <c r="G26" s="4"/>
      <c r="H26" s="4"/>
      <c r="I26" s="4"/>
      <c r="J26" s="2"/>
      <c r="K26" s="2"/>
      <c r="L26" s="2"/>
      <c r="M26" s="2"/>
      <c r="N26" s="2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30" customHeight="1" x14ac:dyDescent="0.35">
      <c r="A27" s="4"/>
      <c r="B27" s="2"/>
      <c r="C27" s="4"/>
      <c r="D27" s="4"/>
      <c r="E27" s="4"/>
      <c r="F27" s="4"/>
      <c r="G27" s="4"/>
      <c r="H27" s="4"/>
      <c r="I27" s="4"/>
      <c r="J27" s="2"/>
      <c r="K27" s="2"/>
      <c r="L27" s="2"/>
      <c r="M27" s="2"/>
      <c r="N27" s="2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30" customHeight="1" x14ac:dyDescent="0.35">
      <c r="A28" s="4"/>
      <c r="B28" s="2"/>
      <c r="C28" s="4"/>
      <c r="D28" s="4"/>
      <c r="E28" s="4"/>
      <c r="F28" s="4"/>
      <c r="G28" s="4"/>
      <c r="H28" s="4"/>
      <c r="I28" s="4"/>
      <c r="J28" s="2"/>
      <c r="K28" s="2"/>
      <c r="L28" s="2"/>
      <c r="M28" s="2"/>
      <c r="N28" s="2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30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</sheetData>
  <mergeCells count="1">
    <mergeCell ref="J11:N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5881-B869-4F10-9A3D-BC2D12ED15C5}">
  <dimension ref="A1:X36"/>
  <sheetViews>
    <sheetView zoomScale="72" workbookViewId="0"/>
  </sheetViews>
  <sheetFormatPr defaultRowHeight="21" x14ac:dyDescent="0.35"/>
  <cols>
    <col min="1" max="1" width="3.90625" customWidth="1"/>
    <col min="2" max="2" width="17.1796875" customWidth="1"/>
    <col min="3" max="3" width="6.08984375" customWidth="1"/>
    <col min="4" max="4" width="15.90625" customWidth="1"/>
    <col min="5" max="5" width="15.6328125" customWidth="1"/>
    <col min="6" max="6" width="27.08984375" customWidth="1"/>
    <col min="7" max="7" width="16.36328125" customWidth="1"/>
    <col min="8" max="8" width="45.1796875" customWidth="1"/>
    <col min="9" max="9" width="14.6328125" customWidth="1"/>
  </cols>
  <sheetData>
    <row r="1" spans="1:24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4"/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35">
      <c r="A3" s="4"/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35">
      <c r="A4" s="4"/>
      <c r="B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35">
      <c r="A5" s="4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5">
      <c r="A6" s="4"/>
      <c r="B6" s="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35">
      <c r="A7" s="4"/>
      <c r="B7" s="2"/>
      <c r="C7" s="4"/>
      <c r="D7" s="10" t="s">
        <v>93</v>
      </c>
      <c r="E7" s="10" t="s">
        <v>0</v>
      </c>
      <c r="F7" s="10" t="s">
        <v>1</v>
      </c>
      <c r="G7" s="11" t="s">
        <v>3</v>
      </c>
      <c r="H7" s="10" t="s">
        <v>2</v>
      </c>
      <c r="I7" s="10" t="s">
        <v>64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5">
      <c r="A8" s="4"/>
      <c r="B8" s="2"/>
      <c r="C8" s="4"/>
      <c r="D8" s="5" t="s">
        <v>4</v>
      </c>
      <c r="E8" s="5" t="s">
        <v>24</v>
      </c>
      <c r="F8" s="5" t="str">
        <f>E8&amp;"@gmail.com"</f>
        <v>Ali Khan@gmail.com</v>
      </c>
      <c r="G8" s="6">
        <v>3475176228</v>
      </c>
      <c r="H8" s="7" t="s">
        <v>44</v>
      </c>
      <c r="I8" s="5" t="str">
        <f>TRIM(RIGHT(H8,LEN(H8)-FIND("♦",SUBSTITUTE(H8,",","♦",LEN(H8)-LEN(SUBSTITUTE(H8,",",""))))))</f>
        <v>Lahore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35">
      <c r="A9" s="4"/>
      <c r="B9" s="2"/>
      <c r="C9" s="4"/>
      <c r="D9" s="5" t="s">
        <v>5</v>
      </c>
      <c r="E9" s="5" t="s">
        <v>25</v>
      </c>
      <c r="F9" s="5" t="str">
        <f t="shared" ref="F9:F27" si="0">E9&amp;"@gmail.com"</f>
        <v>Ahmed Raza@gmail.com</v>
      </c>
      <c r="G9" s="8">
        <v>3624333411</v>
      </c>
      <c r="H9" s="7" t="s">
        <v>45</v>
      </c>
      <c r="I9" s="5" t="str">
        <f t="shared" ref="I9:I26" si="1">TRIM(RIGHT(H9,LEN(H9)-FIND("♦",SUBSTITUTE(H9,",","♦",LEN(H9)-LEN(SUBSTITUTE(H9,",",""))))))</f>
        <v>Karachi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35">
      <c r="A10" s="4"/>
      <c r="B10" s="2"/>
      <c r="C10" s="4"/>
      <c r="D10" s="5" t="s">
        <v>6</v>
      </c>
      <c r="E10" s="5" t="s">
        <v>26</v>
      </c>
      <c r="F10" s="5" t="str">
        <f t="shared" si="0"/>
        <v>Usman Tariq@gmail.com</v>
      </c>
      <c r="G10" s="6">
        <v>3222866737</v>
      </c>
      <c r="H10" s="7" t="s">
        <v>46</v>
      </c>
      <c r="I10" s="5" t="str">
        <f t="shared" si="1"/>
        <v>Islamabad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35">
      <c r="A11" s="4"/>
      <c r="B11" s="2"/>
      <c r="C11" s="4"/>
      <c r="D11" s="5" t="s">
        <v>7</v>
      </c>
      <c r="E11" s="5" t="s">
        <v>27</v>
      </c>
      <c r="F11" s="5" t="str">
        <f t="shared" si="0"/>
        <v>Hassan Ali@gmail.com</v>
      </c>
      <c r="G11" s="9">
        <v>3258889965</v>
      </c>
      <c r="H11" s="7" t="s">
        <v>47</v>
      </c>
      <c r="I11" s="5" t="str">
        <f t="shared" si="1"/>
        <v>Lahore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35">
      <c r="A12" s="4"/>
      <c r="B12" s="2"/>
      <c r="C12" s="4"/>
      <c r="D12" s="5" t="s">
        <v>8</v>
      </c>
      <c r="E12" s="5" t="s">
        <v>28</v>
      </c>
      <c r="F12" s="5" t="str">
        <f t="shared" si="0"/>
        <v>Salman Ahmed@gmail.com</v>
      </c>
      <c r="G12" s="9">
        <v>3501517182</v>
      </c>
      <c r="H12" s="7" t="s">
        <v>48</v>
      </c>
      <c r="I12" s="5" t="str">
        <f t="shared" si="1"/>
        <v>Karachi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35">
      <c r="A13" s="4"/>
      <c r="B13" s="2"/>
      <c r="C13" s="4"/>
      <c r="D13" s="5" t="s">
        <v>9</v>
      </c>
      <c r="E13" s="5" t="s">
        <v>29</v>
      </c>
      <c r="F13" s="5" t="str">
        <f t="shared" si="0"/>
        <v>Bilal Hussain@gmail.com</v>
      </c>
      <c r="G13" s="9">
        <v>3934786277</v>
      </c>
      <c r="H13" s="7" t="s">
        <v>49</v>
      </c>
      <c r="I13" s="5" t="str">
        <f t="shared" si="1"/>
        <v>Rawalpindi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35">
      <c r="A14" s="4"/>
      <c r="B14" s="2"/>
      <c r="C14" s="4"/>
      <c r="D14" s="5" t="s">
        <v>10</v>
      </c>
      <c r="E14" s="5" t="s">
        <v>30</v>
      </c>
      <c r="F14" s="5" t="str">
        <f t="shared" si="0"/>
        <v>Adeel Malik@gmail.com</v>
      </c>
      <c r="G14" s="9">
        <v>3194412670</v>
      </c>
      <c r="H14" s="7" t="s">
        <v>50</v>
      </c>
      <c r="I14" s="5" t="str">
        <f t="shared" si="1"/>
        <v>Karachi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35">
      <c r="A15" s="4"/>
      <c r="B15" s="2"/>
      <c r="C15" s="4"/>
      <c r="D15" s="5" t="s">
        <v>11</v>
      </c>
      <c r="E15" s="5" t="s">
        <v>31</v>
      </c>
      <c r="F15" s="5" t="str">
        <f t="shared" si="0"/>
        <v>Farhan Iqbal@gmail.com</v>
      </c>
      <c r="G15" s="9">
        <v>3441307415</v>
      </c>
      <c r="H15" s="7" t="s">
        <v>51</v>
      </c>
      <c r="I15" s="5" t="str">
        <f t="shared" si="1"/>
        <v>Islamabad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35">
      <c r="A16" s="4"/>
      <c r="B16" s="2"/>
      <c r="C16" s="4"/>
      <c r="D16" s="5" t="s">
        <v>12</v>
      </c>
      <c r="E16" s="5" t="s">
        <v>32</v>
      </c>
      <c r="F16" s="5" t="str">
        <f t="shared" si="0"/>
        <v>Imran Shah@gmail.com</v>
      </c>
      <c r="G16" s="9">
        <v>3868658723</v>
      </c>
      <c r="H16" s="7" t="s">
        <v>52</v>
      </c>
      <c r="I16" s="5" t="str">
        <f t="shared" si="1"/>
        <v>Karachi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35">
      <c r="A17" s="4"/>
      <c r="B17" s="2"/>
      <c r="C17" s="4"/>
      <c r="D17" s="5" t="s">
        <v>13</v>
      </c>
      <c r="E17" s="5" t="s">
        <v>33</v>
      </c>
      <c r="F17" s="5" t="str">
        <f t="shared" si="0"/>
        <v>Zubair Ahmad@gmail.com</v>
      </c>
      <c r="G17" s="9">
        <v>3946117239</v>
      </c>
      <c r="H17" s="7" t="s">
        <v>53</v>
      </c>
      <c r="I17" s="5" t="str">
        <f t="shared" si="1"/>
        <v>Lahore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35">
      <c r="A18" s="4"/>
      <c r="B18" s="2"/>
      <c r="C18" s="4"/>
      <c r="D18" s="5" t="s">
        <v>14</v>
      </c>
      <c r="E18" s="5" t="s">
        <v>34</v>
      </c>
      <c r="F18" s="5" t="str">
        <f t="shared" si="0"/>
        <v>Kamran Akhtar@gmail.com</v>
      </c>
      <c r="G18" s="9">
        <v>3162752483</v>
      </c>
      <c r="H18" s="5" t="s">
        <v>54</v>
      </c>
      <c r="I18" s="5" t="str">
        <f t="shared" si="1"/>
        <v>Lahore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35">
      <c r="A19" s="4"/>
      <c r="B19" s="2"/>
      <c r="C19" s="4"/>
      <c r="D19" s="5" t="s">
        <v>15</v>
      </c>
      <c r="E19" s="5" t="s">
        <v>35</v>
      </c>
      <c r="F19" s="5" t="str">
        <f t="shared" si="0"/>
        <v>Faisal Mehmood@gmail.com</v>
      </c>
      <c r="G19" s="9">
        <v>3793327772</v>
      </c>
      <c r="H19" s="5" t="s">
        <v>55</v>
      </c>
      <c r="I19" s="5" t="str">
        <f t="shared" si="1"/>
        <v>Islamabad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35">
      <c r="A20" s="4"/>
      <c r="B20" s="2"/>
      <c r="C20" s="4"/>
      <c r="D20" s="5" t="s">
        <v>16</v>
      </c>
      <c r="E20" s="5" t="s">
        <v>36</v>
      </c>
      <c r="F20" s="5" t="str">
        <f t="shared" si="0"/>
        <v>Shahzaib Khan@gmail.com</v>
      </c>
      <c r="G20" s="9">
        <v>3703495746</v>
      </c>
      <c r="H20" s="5" t="s">
        <v>56</v>
      </c>
      <c r="I20" s="5" t="str">
        <f t="shared" si="1"/>
        <v>Karachi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35">
      <c r="A21" s="4"/>
      <c r="B21" s="2"/>
      <c r="C21" s="4"/>
      <c r="D21" s="5" t="s">
        <v>17</v>
      </c>
      <c r="E21" s="5" t="s">
        <v>37</v>
      </c>
      <c r="F21" s="5" t="str">
        <f t="shared" si="0"/>
        <v>Noman Ali@gmail.com</v>
      </c>
      <c r="G21" s="9">
        <v>3244958691</v>
      </c>
      <c r="H21" s="5" t="s">
        <v>57</v>
      </c>
      <c r="I21" s="5" t="str">
        <f t="shared" si="1"/>
        <v>Islamabad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35">
      <c r="A22" s="4"/>
      <c r="B22" s="2"/>
      <c r="C22" s="4"/>
      <c r="D22" s="5" t="s">
        <v>18</v>
      </c>
      <c r="E22" s="5" t="s">
        <v>38</v>
      </c>
      <c r="F22" s="5" t="str">
        <f t="shared" si="0"/>
        <v>Danish Rafiq@gmail.com</v>
      </c>
      <c r="G22" s="9">
        <v>3696786223</v>
      </c>
      <c r="H22" s="5" t="s">
        <v>58</v>
      </c>
      <c r="I22" s="5" t="str">
        <f t="shared" si="1"/>
        <v>Lahore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35">
      <c r="A23" s="4"/>
      <c r="B23" s="2"/>
      <c r="C23" s="4"/>
      <c r="D23" s="5" t="s">
        <v>19</v>
      </c>
      <c r="E23" s="5" t="s">
        <v>39</v>
      </c>
      <c r="F23" s="5" t="str">
        <f t="shared" si="0"/>
        <v>Rizwan Ahmad@gmail.com</v>
      </c>
      <c r="G23" s="9">
        <v>3757817717</v>
      </c>
      <c r="H23" s="5" t="s">
        <v>59</v>
      </c>
      <c r="I23" s="5" t="str">
        <f t="shared" si="1"/>
        <v>Multan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35">
      <c r="A24" s="4"/>
      <c r="B24" s="2"/>
      <c r="C24" s="4"/>
      <c r="D24" s="5" t="s">
        <v>20</v>
      </c>
      <c r="E24" s="5" t="s">
        <v>40</v>
      </c>
      <c r="F24" s="5" t="str">
        <f t="shared" si="0"/>
        <v>Waqar Yousaf@gmail.com</v>
      </c>
      <c r="G24" s="9">
        <v>3766420369</v>
      </c>
      <c r="H24" s="5" t="s">
        <v>60</v>
      </c>
      <c r="I24" s="5" t="str">
        <f t="shared" si="1"/>
        <v>Peshawar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35">
      <c r="A25" s="4"/>
      <c r="B25" s="2"/>
      <c r="C25" s="4"/>
      <c r="D25" s="5" t="s">
        <v>21</v>
      </c>
      <c r="E25" s="5" t="s">
        <v>41</v>
      </c>
      <c r="F25" s="5" t="str">
        <f t="shared" si="0"/>
        <v>Saad Siddiqui@gmail.com</v>
      </c>
      <c r="G25" s="9">
        <v>3167951767</v>
      </c>
      <c r="H25" s="5" t="s">
        <v>61</v>
      </c>
      <c r="I25" s="5" t="str">
        <f t="shared" si="1"/>
        <v>Faisalabad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35">
      <c r="A26" s="4"/>
      <c r="B26" s="2"/>
      <c r="C26" s="4"/>
      <c r="D26" s="5" t="s">
        <v>22</v>
      </c>
      <c r="E26" s="5" t="s">
        <v>42</v>
      </c>
      <c r="F26" s="5" t="str">
        <f t="shared" si="0"/>
        <v>Asad Mahmood@gmail.com</v>
      </c>
      <c r="G26" s="9">
        <v>3474454694</v>
      </c>
      <c r="H26" s="5" t="s">
        <v>62</v>
      </c>
      <c r="I26" s="5" t="str">
        <f t="shared" si="1"/>
        <v>Rawalpindi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35">
      <c r="A27" s="4"/>
      <c r="B27" s="2"/>
      <c r="C27" s="4"/>
      <c r="D27" s="5" t="s">
        <v>23</v>
      </c>
      <c r="E27" s="5" t="s">
        <v>43</v>
      </c>
      <c r="F27" s="5" t="str">
        <f t="shared" si="0"/>
        <v>Hamza Farooq@gmail.com</v>
      </c>
      <c r="G27" s="9">
        <v>3758487181</v>
      </c>
      <c r="H27" s="5" t="s">
        <v>63</v>
      </c>
      <c r="I27" s="5" t="str">
        <f>TRIM(RIGHT(H27,LEN(H27)-FIND("♦",SUBSTITUTE(H27,",","♦",LEN(H27)-LEN(SUBSTITUTE(H27,",",""))))))</f>
        <v>Hyderabad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35">
      <c r="A28" s="4"/>
      <c r="B28" s="2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35">
      <c r="A29" s="4"/>
      <c r="B29" s="2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x14ac:dyDescent="0.35">
      <c r="D36" s="4"/>
      <c r="E36" s="4"/>
      <c r="F36" s="4"/>
      <c r="G36" s="4"/>
      <c r="H36" s="4"/>
      <c r="I36" s="4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1639-5759-43D1-8ACA-D3F0DA2046A1}">
  <dimension ref="A1:X37"/>
  <sheetViews>
    <sheetView zoomScale="73" workbookViewId="0"/>
  </sheetViews>
  <sheetFormatPr defaultRowHeight="21" x14ac:dyDescent="0.35"/>
  <cols>
    <col min="1" max="1" width="3.90625" customWidth="1"/>
    <col min="2" max="2" width="18.7265625" customWidth="1"/>
    <col min="3" max="3" width="5.81640625" customWidth="1"/>
    <col min="4" max="4" width="16.1796875" customWidth="1"/>
    <col min="5" max="5" width="30.36328125" customWidth="1"/>
    <col min="6" max="6" width="21.36328125" customWidth="1"/>
    <col min="7" max="7" width="15.453125" customWidth="1"/>
    <col min="8" max="8" width="25.08984375" customWidth="1"/>
  </cols>
  <sheetData>
    <row r="1" spans="1:24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4"/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35">
      <c r="A3" s="4"/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35">
      <c r="A4" s="4"/>
      <c r="B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35">
      <c r="A5" s="4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5">
      <c r="A6" s="4"/>
      <c r="B6" s="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35">
      <c r="A7" s="4"/>
      <c r="B7" s="2"/>
      <c r="C7" s="4"/>
      <c r="D7" s="14" t="s">
        <v>65</v>
      </c>
      <c r="E7" s="14" t="s">
        <v>66</v>
      </c>
      <c r="F7" s="14" t="s">
        <v>97</v>
      </c>
      <c r="G7" s="14" t="s">
        <v>98</v>
      </c>
      <c r="H7" s="14" t="s">
        <v>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5">
      <c r="A8" s="4"/>
      <c r="B8" s="2"/>
      <c r="C8" s="4"/>
      <c r="D8" s="14" t="s">
        <v>69</v>
      </c>
      <c r="E8" s="4" t="s">
        <v>79</v>
      </c>
      <c r="F8" s="4" t="s">
        <v>92</v>
      </c>
      <c r="G8" s="14" t="s">
        <v>100</v>
      </c>
      <c r="H8" s="14" t="s">
        <v>110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35">
      <c r="A9" s="4"/>
      <c r="B9" s="2"/>
      <c r="C9" s="4"/>
      <c r="D9" s="14" t="s">
        <v>70</v>
      </c>
      <c r="E9" s="14" t="s">
        <v>120</v>
      </c>
      <c r="F9" s="14" t="s">
        <v>92</v>
      </c>
      <c r="G9" s="14" t="s">
        <v>101</v>
      </c>
      <c r="H9" s="14" t="s">
        <v>111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35">
      <c r="A10" s="4"/>
      <c r="B10" s="2"/>
      <c r="C10" s="4"/>
      <c r="D10" s="14" t="s">
        <v>71</v>
      </c>
      <c r="E10" s="14" t="s">
        <v>80</v>
      </c>
      <c r="F10" s="14" t="s">
        <v>92</v>
      </c>
      <c r="G10" s="14" t="s">
        <v>102</v>
      </c>
      <c r="H10" s="14" t="s">
        <v>112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35">
      <c r="A11" s="4"/>
      <c r="B11" s="2"/>
      <c r="C11" s="4"/>
      <c r="D11" s="14" t="s">
        <v>72</v>
      </c>
      <c r="E11" s="14" t="s">
        <v>81</v>
      </c>
      <c r="F11" s="14" t="s">
        <v>99</v>
      </c>
      <c r="G11" s="14" t="s">
        <v>103</v>
      </c>
      <c r="H11" s="14" t="s">
        <v>113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35">
      <c r="A12" s="4"/>
      <c r="B12" s="2"/>
      <c r="C12" s="4"/>
      <c r="D12" s="14" t="s">
        <v>73</v>
      </c>
      <c r="E12" s="14" t="s">
        <v>82</v>
      </c>
      <c r="F12" s="14" t="s">
        <v>99</v>
      </c>
      <c r="G12" s="14" t="s">
        <v>104</v>
      </c>
      <c r="H12" s="14" t="s">
        <v>114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35">
      <c r="A13" s="4"/>
      <c r="B13" s="2"/>
      <c r="C13" s="4"/>
      <c r="D13" s="14" t="s">
        <v>74</v>
      </c>
      <c r="E13" s="14" t="s">
        <v>83</v>
      </c>
      <c r="F13" s="14" t="s">
        <v>99</v>
      </c>
      <c r="G13" s="14" t="s">
        <v>105</v>
      </c>
      <c r="H13" s="14" t="s">
        <v>115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35">
      <c r="A14" s="4"/>
      <c r="B14" s="2"/>
      <c r="C14" s="4"/>
      <c r="D14" s="14" t="s">
        <v>75</v>
      </c>
      <c r="E14" s="14" t="s">
        <v>84</v>
      </c>
      <c r="F14" s="14" t="s">
        <v>99</v>
      </c>
      <c r="G14" s="14" t="s">
        <v>106</v>
      </c>
      <c r="H14" s="14" t="s">
        <v>116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35">
      <c r="A15" s="4"/>
      <c r="B15" s="2"/>
      <c r="C15" s="4"/>
      <c r="D15" s="14" t="s">
        <v>76</v>
      </c>
      <c r="E15" s="14" t="s">
        <v>85</v>
      </c>
      <c r="F15" s="14" t="s">
        <v>91</v>
      </c>
      <c r="G15" s="14" t="s">
        <v>107</v>
      </c>
      <c r="H15" s="14" t="s">
        <v>117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35">
      <c r="A16" s="4"/>
      <c r="B16" s="2"/>
      <c r="C16" s="4"/>
      <c r="D16" s="14" t="s">
        <v>77</v>
      </c>
      <c r="E16" s="14" t="s">
        <v>86</v>
      </c>
      <c r="F16" s="14" t="s">
        <v>91</v>
      </c>
      <c r="G16" s="14" t="s">
        <v>108</v>
      </c>
      <c r="H16" s="14" t="s">
        <v>118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35">
      <c r="A17" s="4"/>
      <c r="B17" s="2"/>
      <c r="C17" s="4"/>
      <c r="D17" s="14" t="s">
        <v>78</v>
      </c>
      <c r="E17" s="14" t="s">
        <v>87</v>
      </c>
      <c r="F17" s="14" t="s">
        <v>91</v>
      </c>
      <c r="G17" s="14" t="s">
        <v>109</v>
      </c>
      <c r="H17" s="14" t="s">
        <v>119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35">
      <c r="A18" s="4"/>
      <c r="B18" s="2"/>
      <c r="C18" s="4"/>
      <c r="D18" s="14" t="s">
        <v>124</v>
      </c>
      <c r="E18" s="4" t="s">
        <v>125</v>
      </c>
      <c r="F18" s="4" t="s">
        <v>126</v>
      </c>
      <c r="G18" s="4" t="s">
        <v>127</v>
      </c>
      <c r="H18" s="4" t="s">
        <v>128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35">
      <c r="A19" s="4"/>
      <c r="B19" s="2"/>
      <c r="C19" s="4"/>
      <c r="D19" s="14" t="s">
        <v>135</v>
      </c>
      <c r="E19" s="4" t="s">
        <v>136</v>
      </c>
      <c r="F19" s="4" t="s">
        <v>126</v>
      </c>
      <c r="G19" s="4" t="s">
        <v>137</v>
      </c>
      <c r="H19" s="4" t="s">
        <v>128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35">
      <c r="A20" s="4"/>
      <c r="B20" s="2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35">
      <c r="A21" s="4"/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35">
      <c r="A22" s="4"/>
      <c r="B22" s="2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35">
      <c r="A23" s="4"/>
      <c r="B23" s="2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35">
      <c r="A24" s="4"/>
      <c r="B24" s="2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35">
      <c r="A25" s="4"/>
      <c r="B25" s="2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35">
      <c r="A26" s="4"/>
      <c r="B26" s="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35">
      <c r="A27" s="4"/>
      <c r="B27" s="2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35">
      <c r="A28" s="4"/>
      <c r="B28" s="2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x14ac:dyDescent="0.35">
      <c r="D36" s="2"/>
      <c r="E36" s="2"/>
      <c r="F36" s="2"/>
      <c r="G36" s="2"/>
      <c r="H36" s="2"/>
    </row>
    <row r="37" spans="1:24" x14ac:dyDescent="0.35">
      <c r="D37" s="2"/>
      <c r="E37" s="2"/>
      <c r="F37" s="2"/>
      <c r="G37" s="2"/>
      <c r="H37" s="2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8BB7-C594-461E-B59E-98428806BE31}">
  <dimension ref="A1:X35"/>
  <sheetViews>
    <sheetView zoomScale="70" workbookViewId="0">
      <selection activeCell="G9" sqref="G9"/>
    </sheetView>
  </sheetViews>
  <sheetFormatPr defaultRowHeight="21" x14ac:dyDescent="0.35"/>
  <cols>
    <col min="1" max="1" width="3.90625" customWidth="1"/>
    <col min="2" max="2" width="17.1796875" customWidth="1"/>
    <col min="3" max="3" width="5.453125" customWidth="1"/>
    <col min="4" max="4" width="15.6328125" customWidth="1"/>
    <col min="5" max="5" width="27.90625" customWidth="1"/>
    <col min="6" max="6" width="14.453125" style="3" customWidth="1"/>
    <col min="7" max="7" width="18.81640625" customWidth="1"/>
  </cols>
  <sheetData>
    <row r="1" spans="1:24" x14ac:dyDescent="0.35">
      <c r="A1" s="4"/>
      <c r="B1" s="4"/>
      <c r="C1" s="4"/>
      <c r="D1" s="4"/>
      <c r="E1" s="4"/>
      <c r="F1" s="1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4"/>
      <c r="B2" s="2"/>
      <c r="C2" s="4"/>
      <c r="D2" s="4"/>
      <c r="E2" s="4"/>
      <c r="F2" s="1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35">
      <c r="A3" s="4"/>
      <c r="B3" s="2"/>
      <c r="C3" s="4"/>
      <c r="D3" s="4"/>
      <c r="E3" s="4"/>
      <c r="F3" s="1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35">
      <c r="A4" s="4"/>
      <c r="B4" s="2"/>
      <c r="C4" s="4"/>
      <c r="D4" s="4"/>
      <c r="E4" s="4"/>
      <c r="F4" s="1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35">
      <c r="A5" s="4"/>
      <c r="B5" s="2"/>
      <c r="C5" s="4"/>
      <c r="D5" s="4"/>
      <c r="E5" s="4"/>
      <c r="F5" s="1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5">
      <c r="A6" s="4"/>
      <c r="B6" s="2"/>
      <c r="C6" s="4"/>
      <c r="D6" s="4"/>
      <c r="E6" s="4"/>
      <c r="F6" s="1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35">
      <c r="A7" s="4"/>
      <c r="B7" s="2"/>
      <c r="C7" s="4"/>
      <c r="D7" s="12" t="s">
        <v>65</v>
      </c>
      <c r="E7" s="12" t="s">
        <v>66</v>
      </c>
      <c r="F7" s="12" t="s">
        <v>67</v>
      </c>
      <c r="G7" s="12" t="s">
        <v>68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5">
      <c r="A8" s="4"/>
      <c r="B8" s="2"/>
      <c r="C8" s="4"/>
      <c r="D8" s="17" t="s">
        <v>69</v>
      </c>
      <c r="E8" s="19" t="s">
        <v>79</v>
      </c>
      <c r="F8" s="20" cm="1">
        <f t="array" ref="F8">_xlfn.IFS(E8="Smart Watch",1500, E8="HP Laptop Elitebook i5",90000, E8="Wireless Printer",40000, E8="Desktop",30000, E8="Mouse",800, E8="Rgb Keyboard",6000, E8="Camera",12000, E8="Headphones",4000, E8="Speakers",3500, E8="Tablets",18000, E8="Airpods",2500, E8="Mobile Phone",30000)</f>
        <v>1500</v>
      </c>
      <c r="G8" s="20">
        <f>F8 + F8*25%</f>
        <v>1875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35">
      <c r="A9" s="4"/>
      <c r="B9" s="2"/>
      <c r="C9" s="4"/>
      <c r="D9" s="17" t="s">
        <v>70</v>
      </c>
      <c r="E9" s="24" t="s">
        <v>132</v>
      </c>
      <c r="F9" s="20" cm="1">
        <f t="array" ref="F9">_xlfn.IFS(E9="Smart Watch",1500, E9="HP Laptop Elitebook i5",90000, E9="Wireless Printer",40000, E9="Desktop",30000, E9="Mouse",800, E9="Rgb Keyboard",6000, E9="Camera",12000, E9="Headphones",4000, E9="Speakers",3500, E9="Tablets",18000, E9="Airpods",2500, E9="Mobile Phone",30000)</f>
        <v>90000</v>
      </c>
      <c r="G9" s="20">
        <f t="shared" ref="G9:G18" si="0">F9 + F9*25%</f>
        <v>112500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35">
      <c r="A10" s="4"/>
      <c r="B10" s="2"/>
      <c r="C10" s="4"/>
      <c r="D10" s="17" t="s">
        <v>71</v>
      </c>
      <c r="E10" s="19" t="s">
        <v>80</v>
      </c>
      <c r="F10" s="20" cm="1">
        <f t="array" ref="F10">_xlfn.IFS(E10="Smart Watch",1500, E10="HP Laptop Elitebook i5",90000, E10="Wireless Printer",40000, E10="Desktop",30000, E10="Mouse",800, E10="Rgb Keyboard",6000, E10="Camera",12000, E10="Headphones",4000, E10="Speakers",3500, E10="Tablets",18000, E10="Airpods",2500, E10="Mobile Phone",30000)</f>
        <v>40000</v>
      </c>
      <c r="G10" s="20">
        <f t="shared" si="0"/>
        <v>50000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35">
      <c r="A11" s="4"/>
      <c r="B11" s="2"/>
      <c r="C11" s="4"/>
      <c r="D11" s="17" t="s">
        <v>72</v>
      </c>
      <c r="E11" s="21" t="s">
        <v>81</v>
      </c>
      <c r="F11" s="20" cm="1">
        <f t="array" ref="F11">_xlfn.IFS(E11="Smart Watch",1500, E11="HP Laptop Elitebook i5",90000, E11="Wireless Printer",40000, E11="Desktop",30000, E11="Mouse",800, E11="Rgb Keyboard",6000, E11="Camera",12000, E11="Headphones",4000, E11="Speakers",3500, E11="Tablets",18000, E11="Airpods",2500, E11="Mobile Phone",30000)</f>
        <v>30000</v>
      </c>
      <c r="G11" s="20">
        <f t="shared" si="0"/>
        <v>37500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35">
      <c r="A12" s="4"/>
      <c r="B12" s="2"/>
      <c r="C12" s="4"/>
      <c r="D12" s="17" t="s">
        <v>73</v>
      </c>
      <c r="E12" s="19" t="s">
        <v>82</v>
      </c>
      <c r="F12" s="20" cm="1">
        <f t="array" ref="F12">_xlfn.IFS(E12="Smart Watch",1500, E12="HP Laptop Elitebook i5",90000, E12="Wireless Printer",40000, E12="Desktop",30000, E12="Mouse",800, E12="Rgb Keyboard",6000, E12="Camera",12000, E12="Headphones",4000, E12="Speakers",3500, E12="Tablets",18000, E12="Airpods",2500, E12="Mobile Phone",30000)</f>
        <v>800</v>
      </c>
      <c r="G12" s="20">
        <f t="shared" si="0"/>
        <v>1000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35">
      <c r="A13" s="4"/>
      <c r="B13" s="2"/>
      <c r="C13" s="4"/>
      <c r="D13" s="17" t="s">
        <v>74</v>
      </c>
      <c r="E13" s="21" t="s">
        <v>83</v>
      </c>
      <c r="F13" s="20" cm="1">
        <f t="array" ref="F13">_xlfn.IFS(E13="Smart Watch",1500, E13="HP Laptop Elitebook i5",90000, E13="Wireless Printer",40000, E13="Desktop",30000, E13="Mouse",800, E13="Rgb Keyboard",6000, E13="Camera",12000, E13="Headphones",4000, E13="Speakers",3500, E13="Tablets",18000, E13="Airpods",2500, E13="Mobile Phone",30000)</f>
        <v>6000</v>
      </c>
      <c r="G13" s="20">
        <f t="shared" si="0"/>
        <v>7500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35">
      <c r="A14" s="4"/>
      <c r="B14" s="2"/>
      <c r="C14" s="4"/>
      <c r="D14" s="17" t="s">
        <v>75</v>
      </c>
      <c r="E14" s="19" t="s">
        <v>84</v>
      </c>
      <c r="F14" s="20" cm="1">
        <f t="array" ref="F14">_xlfn.IFS(E14="Smart Watch",1500, E14="HP Laptop Elitebook i5",90000, E14="Wireless Printer",40000, E14="Desktop",30000, E14="Mouse",800, E14="Rgb Keyboard",6000, E14="Camera",12000, E14="Headphones",4000, E14="Speakers",3500, E14="Tablets",18000, E14="Airpods",2500, E14="Mobile Phone",30000)</f>
        <v>12000</v>
      </c>
      <c r="G14" s="20">
        <f t="shared" si="0"/>
        <v>15000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35">
      <c r="A15" s="4"/>
      <c r="B15" s="2"/>
      <c r="C15" s="4"/>
      <c r="D15" s="17" t="s">
        <v>76</v>
      </c>
      <c r="E15" s="21" t="s">
        <v>85</v>
      </c>
      <c r="F15" s="20" cm="1">
        <f t="array" ref="F15">_xlfn.IFS(E15="Smart Watch",1500, E15="HP Laptop Elitebook i5",90000, E15="Wireless Printer",40000, E15="Desktop",30000, E15="Mouse",800, E15="Rgb Keyboard",6000, E15="Camera",12000, E15="Headphones",4000, E15="Speakers",3500, E15="Tablets",18000, E15="Airpods",2500, E15="Mobile Phone",30000)</f>
        <v>4000</v>
      </c>
      <c r="G15" s="20">
        <f t="shared" si="0"/>
        <v>5000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35">
      <c r="A16" s="4"/>
      <c r="B16" s="2"/>
      <c r="C16" s="4"/>
      <c r="D16" s="17" t="s">
        <v>77</v>
      </c>
      <c r="E16" s="19" t="s">
        <v>86</v>
      </c>
      <c r="F16" s="20" cm="1">
        <f t="array" ref="F16">_xlfn.IFS(E16="Smart Watch",1500, E16="HP Laptop Elitebook i5",90000, E16="Wireless Printer",40000, E16="Desktop",30000, E16="Mouse",800, E16="Rgb Keyboard",6000, E16="Camera",12000, E16="Headphones",4000, E16="Speakers",3500, E16="Tablets",18000, E16="Airpods",2500, E16="Mobile Phone",30000)</f>
        <v>3500</v>
      </c>
      <c r="G16" s="20">
        <f t="shared" si="0"/>
        <v>4375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35">
      <c r="A17" s="4"/>
      <c r="B17" s="2"/>
      <c r="C17" s="4"/>
      <c r="D17" s="17" t="s">
        <v>78</v>
      </c>
      <c r="E17" s="21" t="s">
        <v>87</v>
      </c>
      <c r="F17" s="20" cm="1">
        <f t="array" ref="F17">_xlfn.IFS(E17="Smart Watch",1500, E17="HP Laptop Elitebook i5",90000, E17="Wireless Printer",40000, E17="Desktop",30000, E17="Mouse",800, E17="Rgb Keyboard",6000, E17="Camera",12000, E17="Headphones",4000, E17="Speakers",3500, E17="Tablets",18000, E17="Airpods",2500, E17="Mobile Phone",30000)</f>
        <v>18000</v>
      </c>
      <c r="G17" s="20">
        <f t="shared" si="0"/>
        <v>22500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35">
      <c r="A18" s="4"/>
      <c r="B18" s="2"/>
      <c r="C18" s="4"/>
      <c r="D18" s="18" t="s">
        <v>124</v>
      </c>
      <c r="E18" s="22" t="s">
        <v>125</v>
      </c>
      <c r="F18" s="20" cm="1">
        <f t="array" ref="F18">_xlfn.IFS(E18="Smart Watch",1500, E18="HP Laptop Elitebook i5",90000, E18="Wireless Printer",40000, E18="Desktop",30000, E18="Mouse",800, E18="Rgb Keyboard",6000, E18="Camera",12000, E18="Headphones",4000, E18="Speakers",3500, E18="Tablets",18000, E18="Airpods",2500, E18="Mobile Phone",30000)</f>
        <v>2500</v>
      </c>
      <c r="G18" s="20">
        <f t="shared" si="0"/>
        <v>3125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35">
      <c r="A19" s="4"/>
      <c r="B19" s="2"/>
      <c r="C19" s="4"/>
      <c r="D19" s="25" t="s">
        <v>135</v>
      </c>
      <c r="E19" s="26" t="s">
        <v>136</v>
      </c>
      <c r="F19" s="20" cm="1">
        <f t="array" ref="F19">_xlfn.IFS(E19="Smart Watch",1500, E19="HP Laptop Elitebook i5",90000, E19="Wireless Printer",40000, E19="Desktop",30000, E19="Mouse",800, E19="Rgb Keyboard",6000, E19="Camera",12000, E19="Headphones",4000, E19="Speakers",3500, E19="Tablets",18000, E19="Airpods",2500, E19="Mobile Phone",30000)</f>
        <v>30000</v>
      </c>
      <c r="G19" s="20">
        <f>F19 + F19*25%</f>
        <v>37500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35">
      <c r="A20" s="4"/>
      <c r="B20" s="2"/>
      <c r="C20" s="4"/>
      <c r="D20" s="4"/>
      <c r="E20" s="4"/>
      <c r="F20" s="1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35">
      <c r="A21" s="4"/>
      <c r="B21" s="2"/>
      <c r="C21" s="4"/>
      <c r="D21" s="4"/>
      <c r="E21" s="4"/>
      <c r="F21" s="1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35">
      <c r="A22" s="4"/>
      <c r="B22" s="2"/>
      <c r="C22" s="4"/>
      <c r="D22" s="4"/>
      <c r="E22" s="4"/>
      <c r="F22" s="1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35">
      <c r="A23" s="4"/>
      <c r="B23" s="2"/>
      <c r="C23" s="4"/>
      <c r="D23" s="4"/>
      <c r="E23" s="4"/>
      <c r="F23" s="1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35">
      <c r="A24" s="4"/>
      <c r="B24" s="2"/>
      <c r="C24" s="4"/>
      <c r="D24" s="4"/>
      <c r="E24" s="4"/>
      <c r="F24" s="1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35">
      <c r="A25" s="4"/>
      <c r="B25" s="2"/>
      <c r="C25" s="4"/>
      <c r="D25" s="4"/>
      <c r="E25" s="4"/>
      <c r="F25" s="1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35">
      <c r="A26" s="4"/>
      <c r="B26" s="2"/>
      <c r="C26" s="4"/>
      <c r="D26" s="4"/>
      <c r="E26" s="4"/>
      <c r="F26" s="1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35">
      <c r="A27" s="4"/>
      <c r="B27" s="2"/>
      <c r="C27" s="4"/>
      <c r="D27" s="4"/>
      <c r="E27" s="4"/>
      <c r="F27" s="1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35">
      <c r="A28" s="4"/>
      <c r="B28" s="2"/>
      <c r="C28" s="4"/>
      <c r="D28" s="4"/>
      <c r="E28" s="4"/>
      <c r="F28" s="1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35">
      <c r="A29" s="4"/>
      <c r="B29" s="4"/>
      <c r="C29" s="4"/>
      <c r="D29" s="4"/>
      <c r="E29" s="4"/>
      <c r="F29" s="1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35">
      <c r="A30" s="4"/>
      <c r="B30" s="4"/>
      <c r="C30" s="4"/>
      <c r="D30" s="4"/>
      <c r="E30" s="4"/>
      <c r="F30" s="1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35">
      <c r="A31" s="4"/>
      <c r="B31" s="4"/>
      <c r="C31" s="4"/>
      <c r="D31" s="4"/>
      <c r="E31" s="4"/>
      <c r="F31" s="1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35">
      <c r="A32" s="4"/>
      <c r="B32" s="4"/>
      <c r="C32" s="4"/>
      <c r="D32" s="4"/>
      <c r="E32" s="4"/>
      <c r="F32" s="1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35">
      <c r="A33" s="4"/>
      <c r="B33" s="4"/>
      <c r="C33" s="4"/>
      <c r="D33" s="4"/>
      <c r="E33" s="4"/>
      <c r="F33" s="1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35">
      <c r="A34" s="4"/>
      <c r="B34" s="4"/>
      <c r="C34" s="4"/>
      <c r="D34" s="4"/>
      <c r="E34" s="4"/>
      <c r="F34" s="1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35">
      <c r="A35" s="4"/>
      <c r="B35" s="4"/>
      <c r="C35" s="4"/>
      <c r="D35" s="4"/>
      <c r="E35" s="4"/>
      <c r="F35" s="1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</sheetData>
  <phoneticPr fontId="2" type="noConversion"/>
  <dataValidations count="1">
    <dataValidation type="list" allowBlank="1" showInputMessage="1" showErrorMessage="1" sqref="E8" xr:uid="{475F3E86-28AA-4FA2-9CDB-3D5205D527FC}">
      <formula1>$E$8:$E$19</formula1>
    </dataValidation>
  </dataValidations>
  <pageMargins left="0.7" right="0.7" top="0.75" bottom="0.75" header="0.3" footer="0.3"/>
  <ignoredErrors>
    <ignoredError sqref="F8" calculatedColumn="1"/>
  </ignoredErrors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5E04-421A-4267-A4CB-DA97903D6B28}">
  <dimension ref="A1:X35"/>
  <sheetViews>
    <sheetView zoomScale="71" workbookViewId="0"/>
  </sheetViews>
  <sheetFormatPr defaultRowHeight="21" x14ac:dyDescent="0.35"/>
  <cols>
    <col min="1" max="1" width="3.08984375" customWidth="1"/>
    <col min="2" max="2" width="17.7265625" customWidth="1"/>
    <col min="3" max="3" width="5.81640625" customWidth="1"/>
    <col min="5" max="5" width="25.1796875" customWidth="1"/>
  </cols>
  <sheetData>
    <row r="1" spans="1:24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4"/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35">
      <c r="A3" s="4"/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35">
      <c r="A4" s="4"/>
      <c r="B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35">
      <c r="A5" s="4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5">
      <c r="A6" s="4"/>
      <c r="B6" s="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35">
      <c r="A7" s="4"/>
      <c r="B7" s="2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5">
      <c r="A8" s="4"/>
      <c r="B8" s="2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35">
      <c r="A9" s="4"/>
      <c r="B9" s="2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28.5" x14ac:dyDescent="0.45">
      <c r="A10" s="4"/>
      <c r="B10" s="2"/>
      <c r="C10" s="4"/>
      <c r="D10" s="4"/>
      <c r="E10" s="15" t="s">
        <v>121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35">
      <c r="A11" s="4"/>
      <c r="B11" s="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24.75" customHeight="1" x14ac:dyDescent="0.45">
      <c r="A12" s="4"/>
      <c r="B12" s="2"/>
      <c r="C12" s="4"/>
      <c r="D12" s="4"/>
      <c r="E12" s="15" t="s">
        <v>122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35">
      <c r="A13" s="4"/>
      <c r="B13" s="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35">
      <c r="A14" s="4"/>
      <c r="B14" s="2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35">
      <c r="A15" s="4"/>
      <c r="B15" s="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35">
      <c r="A16" s="4"/>
      <c r="B16" s="2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35">
      <c r="A17" s="4"/>
      <c r="B17" s="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35">
      <c r="A18" s="4"/>
      <c r="B18" s="2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35">
      <c r="A19" s="4"/>
      <c r="B19" s="2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35">
      <c r="A20" s="4"/>
      <c r="B20" s="2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35">
      <c r="A21" s="4"/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35">
      <c r="A22" s="4"/>
      <c r="B22" s="2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35">
      <c r="A23" s="4"/>
      <c r="B23" s="2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35">
      <c r="A24" s="4"/>
      <c r="B24" s="2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35">
      <c r="A25" s="4"/>
      <c r="B25" s="2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35">
      <c r="A26" s="4"/>
      <c r="B26" s="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35">
      <c r="A27" s="4"/>
      <c r="B27" s="2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35">
      <c r="A28" s="4"/>
      <c r="B28" s="2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</sheetData>
  <hyperlinks>
    <hyperlink ref="E10" location="Purchase!A1" display="Purchase Entry" xr:uid="{2FF1EC70-3B02-4E59-8825-3A7FB663D6F8}"/>
    <hyperlink ref="E12" location="Sales!A1" display="Sales Entry" xr:uid="{881C594B-2DE7-45B4-BD39-E7EBFB2EE10E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4B2DC-77E5-4752-B3F7-9C587515A834}">
  <dimension ref="A1:X35"/>
  <sheetViews>
    <sheetView zoomScale="71" workbookViewId="0"/>
  </sheetViews>
  <sheetFormatPr defaultRowHeight="21" x14ac:dyDescent="0.35"/>
  <cols>
    <col min="1" max="1" width="3.90625" customWidth="1"/>
    <col min="2" max="2" width="19.453125" customWidth="1"/>
    <col min="3" max="3" width="5.6328125" customWidth="1"/>
    <col min="4" max="4" width="18.36328125" customWidth="1"/>
    <col min="5" max="5" width="29.36328125" customWidth="1"/>
    <col min="6" max="6" width="24.453125" customWidth="1"/>
    <col min="7" max="7" width="13.08984375" customWidth="1"/>
    <col min="8" max="8" width="9.90625" customWidth="1"/>
    <col min="9" max="9" width="10.90625" customWidth="1"/>
    <col min="10" max="10" width="13.453125" customWidth="1"/>
  </cols>
  <sheetData>
    <row r="1" spans="1:24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4"/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35">
      <c r="A3" s="4"/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35">
      <c r="A4" s="4"/>
      <c r="B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35">
      <c r="A5" s="4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5">
      <c r="A6" s="4"/>
      <c r="B6" s="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35">
      <c r="A7" s="4"/>
      <c r="B7" s="2"/>
      <c r="C7" s="4"/>
      <c r="D7" s="16" t="s">
        <v>65</v>
      </c>
      <c r="E7" s="16" t="s">
        <v>66</v>
      </c>
      <c r="F7" s="16" t="s">
        <v>88</v>
      </c>
      <c r="G7" s="16" t="s">
        <v>89</v>
      </c>
      <c r="H7" s="16" t="s">
        <v>90</v>
      </c>
      <c r="I7" s="16" t="s">
        <v>67</v>
      </c>
      <c r="J7" s="16" t="s">
        <v>123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5">
      <c r="A8" s="4"/>
      <c r="B8" s="2"/>
      <c r="C8" s="4"/>
      <c r="D8" s="14" t="s">
        <v>72</v>
      </c>
      <c r="E8" s="14" t="str">
        <f>IFERROR(VLOOKUP(PurchaseData[[#This Row],[HSN Code]],ProductsData[#All],2,0),"")</f>
        <v>Desktop</v>
      </c>
      <c r="F8" s="4" t="str">
        <f>IFERROR(VLOOKUP(PurchaseData[[#This Row],[HSN Code]],vendorsdata[#All],3,0),"")</f>
        <v>GG Traders</v>
      </c>
      <c r="G8" s="23">
        <v>45910</v>
      </c>
      <c r="H8" s="4">
        <v>10</v>
      </c>
      <c r="I8" s="4">
        <f>IFERROR(VLOOKUP(PurchaseData[[#This Row],[HSN Code]],ProductsData[#All],3,0),"")</f>
        <v>30000</v>
      </c>
      <c r="J8" s="4">
        <f>IFERROR(PurchaseData[[#This Row],[Units]]*PurchaseData[[#This Row],[Cost]],"")</f>
        <v>300000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35">
      <c r="A9" s="4"/>
      <c r="B9" s="2"/>
      <c r="C9" s="4"/>
      <c r="D9" s="14" t="s">
        <v>73</v>
      </c>
      <c r="E9" s="14" t="str">
        <f>IFERROR(VLOOKUP(PurchaseData[[#This Row],[HSN Code]],ProductsData[#All],2,0),"")</f>
        <v>Mouse</v>
      </c>
      <c r="F9" s="4" t="str">
        <f>IFERROR(VLOOKUP(PurchaseData[[#This Row],[HSN Code]],vendorsdata[#All],3,0),"")</f>
        <v>GG Traders</v>
      </c>
      <c r="G9" s="23">
        <v>45911</v>
      </c>
      <c r="H9" s="4">
        <v>20</v>
      </c>
      <c r="I9" s="4">
        <f>IFERROR(VLOOKUP(PurchaseData[[#This Row],[HSN Code]],ProductsData[#All],3,0),"")</f>
        <v>800</v>
      </c>
      <c r="J9" s="4">
        <f>IFERROR(PurchaseData[[#This Row],[Units]]*PurchaseData[[#This Row],[Cost]],"")</f>
        <v>16000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35">
      <c r="A10" s="4"/>
      <c r="B10" s="2"/>
      <c r="C10" s="4"/>
      <c r="D10" s="4" t="s">
        <v>69</v>
      </c>
      <c r="E10" s="4" t="str">
        <f>IFERROR(VLOOKUP(PurchaseData[[#This Row],[HSN Code]],ProductsData[#All],2,0),"")</f>
        <v>Smart Watch</v>
      </c>
      <c r="F10" s="4" t="str">
        <f>IFERROR(VLOOKUP(PurchaseData[[#This Row],[HSN Code]],vendorsdata[#All],3,0),"")</f>
        <v>Tech99</v>
      </c>
      <c r="G10" s="23">
        <v>45912</v>
      </c>
      <c r="H10" s="4">
        <v>25</v>
      </c>
      <c r="I10" s="4">
        <f>IFERROR(VLOOKUP(PurchaseData[[#This Row],[HSN Code]],ProductsData[#All],3,0),"")</f>
        <v>1500</v>
      </c>
      <c r="J10" s="4">
        <f>IFERROR(PurchaseData[[#This Row],[Units]]*PurchaseData[[#This Row],[Cost]],"")</f>
        <v>37500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35">
      <c r="A11" s="4"/>
      <c r="B11" s="2"/>
      <c r="C11" s="4"/>
      <c r="D11" s="4" t="s">
        <v>71</v>
      </c>
      <c r="E11" s="4" t="str">
        <f>IFERROR(VLOOKUP(PurchaseData[[#This Row],[HSN Code]],ProductsData[#All],2,0),"")</f>
        <v>Wireless Printer</v>
      </c>
      <c r="F11" s="4" t="str">
        <f>IFERROR(VLOOKUP(PurchaseData[[#This Row],[HSN Code]],vendorsdata[#All],3,0),"")</f>
        <v>Tech99</v>
      </c>
      <c r="G11" s="23">
        <v>45913</v>
      </c>
      <c r="H11" s="4">
        <v>25</v>
      </c>
      <c r="I11" s="4">
        <f>IFERROR(VLOOKUP(PurchaseData[[#This Row],[HSN Code]],ProductsData[#All],3,0),"")</f>
        <v>40000</v>
      </c>
      <c r="J11" s="4">
        <f>IFERROR(PurchaseData[[#This Row],[Units]]*PurchaseData[[#This Row],[Cost]],"")</f>
        <v>1000000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35">
      <c r="A12" s="4"/>
      <c r="B12" s="2"/>
      <c r="C12" s="4"/>
      <c r="D12" s="4" t="s">
        <v>74</v>
      </c>
      <c r="E12" s="4" t="str">
        <f>IFERROR(VLOOKUP(PurchaseData[[#This Row],[HSN Code]],ProductsData[#All],2,0),"")</f>
        <v>Rgb Keyboard</v>
      </c>
      <c r="F12" s="4" t="str">
        <f>IFERROR(VLOOKUP(PurchaseData[[#This Row],[HSN Code]],vendorsdata[#All],3,0),"")</f>
        <v>GG Traders</v>
      </c>
      <c r="G12" s="23">
        <v>45944</v>
      </c>
      <c r="H12" s="4">
        <v>10</v>
      </c>
      <c r="I12" s="4">
        <f>IFERROR(VLOOKUP(PurchaseData[[#This Row],[HSN Code]],ProductsData[#All],3,0),"")</f>
        <v>6000</v>
      </c>
      <c r="J12" s="4">
        <f>IFERROR(PurchaseData[[#This Row],[Units]]*PurchaseData[[#This Row],[Cost]],"")</f>
        <v>60000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35">
      <c r="A13" s="4"/>
      <c r="B13" s="2"/>
      <c r="C13" s="4"/>
      <c r="D13" s="4" t="s">
        <v>69</v>
      </c>
      <c r="E13" s="4" t="str">
        <f>IFERROR(VLOOKUP(PurchaseData[[#This Row],[HSN Code]],ProductsData[#All],2,0),"")</f>
        <v>Smart Watch</v>
      </c>
      <c r="F13" s="4" t="str">
        <f>IFERROR(VLOOKUP(PurchaseData[[#This Row],[HSN Code]],vendorsdata[#All],3,0),"")</f>
        <v>Tech99</v>
      </c>
      <c r="G13" s="23">
        <v>45945</v>
      </c>
      <c r="H13" s="4">
        <v>50</v>
      </c>
      <c r="I13" s="4">
        <f>IFERROR(VLOOKUP(PurchaseData[[#This Row],[HSN Code]],ProductsData[#All],3,0),"")</f>
        <v>1500</v>
      </c>
      <c r="J13" s="4">
        <f>IFERROR(PurchaseData[[#This Row],[Units]]*PurchaseData[[#This Row],[Cost]],"")</f>
        <v>75000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35">
      <c r="A14" s="4"/>
      <c r="B14" s="2"/>
      <c r="C14" s="4"/>
      <c r="D14" s="4" t="s">
        <v>70</v>
      </c>
      <c r="E14" s="4" t="str">
        <f>IFERROR(VLOOKUP(PurchaseData[[#This Row],[HSN Code]],ProductsData[#All],2,0),"")</f>
        <v>HP Laptop Elitebook i5</v>
      </c>
      <c r="F14" s="4" t="str">
        <f>IFERROR(VLOOKUP(PurchaseData[[#This Row],[HSN Code]],vendorsdata[#All],3,0),"")</f>
        <v>Tech99</v>
      </c>
      <c r="G14" s="23">
        <v>45946</v>
      </c>
      <c r="H14" s="4">
        <v>10</v>
      </c>
      <c r="I14" s="4">
        <f>IFERROR(VLOOKUP(PurchaseData[[#This Row],[HSN Code]],ProductsData[#All],3,0),"")</f>
        <v>90000</v>
      </c>
      <c r="J14" s="4">
        <f>IFERROR(PurchaseData[[#This Row],[Units]]*PurchaseData[[#This Row],[Cost]],"")</f>
        <v>900000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35">
      <c r="A15" s="4"/>
      <c r="B15" s="2"/>
      <c r="C15" s="4"/>
      <c r="D15" s="4" t="s">
        <v>76</v>
      </c>
      <c r="E15" s="4" t="str">
        <f>IFERROR(VLOOKUP(PurchaseData[[#This Row],[HSN Code]],ProductsData[#All],2,0),"")</f>
        <v>Headphones</v>
      </c>
      <c r="F15" s="4" t="str">
        <f>IFERROR(VLOOKUP(PurchaseData[[#This Row],[HSN Code]],vendorsdata[#All],3,0),"")</f>
        <v>Compac</v>
      </c>
      <c r="G15" s="23">
        <v>45947</v>
      </c>
      <c r="H15" s="4">
        <v>60</v>
      </c>
      <c r="I15" s="4">
        <f>IFERROR(VLOOKUP(PurchaseData[[#This Row],[HSN Code]],ProductsData[#All],3,0),"")</f>
        <v>4000</v>
      </c>
      <c r="J15" s="4">
        <f>IFERROR(PurchaseData[[#This Row],[Units]]*PurchaseData[[#This Row],[Cost]],"")</f>
        <v>240000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35">
      <c r="A16" s="4"/>
      <c r="B16" s="2"/>
      <c r="C16" s="4"/>
      <c r="D16" s="4" t="s">
        <v>75</v>
      </c>
      <c r="E16" s="4" t="str">
        <f>IFERROR(VLOOKUP(PurchaseData[[#This Row],[HSN Code]],ProductsData[#All],2,0),"")</f>
        <v>Camera</v>
      </c>
      <c r="F16" s="4" t="str">
        <f>IFERROR(VLOOKUP(PurchaseData[[#This Row],[HSN Code]],vendorsdata[#All],3,0),"")</f>
        <v>GG Traders</v>
      </c>
      <c r="G16" s="23">
        <v>45979</v>
      </c>
      <c r="H16" s="4">
        <v>40</v>
      </c>
      <c r="I16" s="4">
        <f>IFERROR(VLOOKUP(PurchaseData[[#This Row],[HSN Code]],ProductsData[#All],3,0),"")</f>
        <v>12000</v>
      </c>
      <c r="J16" s="4">
        <f>IFERROR(PurchaseData[[#This Row],[Units]]*PurchaseData[[#This Row],[Cost]],"")</f>
        <v>480000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35">
      <c r="A17" s="4"/>
      <c r="B17" s="2"/>
      <c r="C17" s="4"/>
      <c r="D17" s="4" t="s">
        <v>124</v>
      </c>
      <c r="E17" s="4" t="str">
        <f>IFERROR(VLOOKUP(PurchaseData[[#This Row],[HSN Code]],ProductsData[#All],2,0),"")</f>
        <v>Airpods</v>
      </c>
      <c r="F17" s="4" t="str">
        <f>IFERROR(VLOOKUP(PurchaseData[[#This Row],[HSN Code]],vendorsdata[#All],3,0),"")</f>
        <v>TechStar</v>
      </c>
      <c r="G17" s="23">
        <v>45980</v>
      </c>
      <c r="H17" s="4">
        <v>30</v>
      </c>
      <c r="I17" s="4">
        <f>IFERROR(VLOOKUP(PurchaseData[[#This Row],[HSN Code]],ProductsData[#All],3,0),"")</f>
        <v>2500</v>
      </c>
      <c r="J17" s="4">
        <f>IFERROR(PurchaseData[[#This Row],[Units]]*PurchaseData[[#This Row],[Cost]],"")</f>
        <v>75000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35">
      <c r="A18" s="4"/>
      <c r="B18" s="2"/>
      <c r="C18" s="4"/>
      <c r="D18" s="4" t="s">
        <v>78</v>
      </c>
      <c r="E18" s="4" t="str">
        <f>IFERROR(VLOOKUP(PurchaseData[[#This Row],[HSN Code]],ProductsData[#All],2,0),"")</f>
        <v>Tablets</v>
      </c>
      <c r="F18" s="4" t="str">
        <f>IFERROR(VLOOKUP(PurchaseData[[#This Row],[HSN Code]],vendorsdata[#All],3,0),"")</f>
        <v>Compac</v>
      </c>
      <c r="G18" s="23">
        <v>46011</v>
      </c>
      <c r="H18" s="4">
        <v>20</v>
      </c>
      <c r="I18" s="4">
        <f>IFERROR(VLOOKUP(PurchaseData[[#This Row],[HSN Code]],ProductsData[#All],3,0),"")</f>
        <v>18000</v>
      </c>
      <c r="J18" s="4">
        <f>IFERROR(PurchaseData[[#This Row],[Units]]*PurchaseData[[#This Row],[Cost]],"")</f>
        <v>360000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35">
      <c r="A19" s="4"/>
      <c r="B19" s="2"/>
      <c r="C19" s="4"/>
      <c r="D19" s="4" t="s">
        <v>124</v>
      </c>
      <c r="E19" s="4" t="str">
        <f>IFERROR(VLOOKUP(PurchaseData[[#This Row],[HSN Code]],ProductsData[#All],2,0),"")</f>
        <v>Airpods</v>
      </c>
      <c r="F19" s="4" t="str">
        <f>IFERROR(VLOOKUP(PurchaseData[[#This Row],[HSN Code]],vendorsdata[#All],3,0),"")</f>
        <v>TechStar</v>
      </c>
      <c r="G19" s="23">
        <v>46011</v>
      </c>
      <c r="H19" s="4">
        <v>30</v>
      </c>
      <c r="I19" s="4">
        <f>IFERROR(VLOOKUP(PurchaseData[[#This Row],[HSN Code]],ProductsData[#All],3,0),"")</f>
        <v>2500</v>
      </c>
      <c r="J19" s="4">
        <f>IFERROR(PurchaseData[[#This Row],[Units]]*PurchaseData[[#This Row],[Cost]],"")</f>
        <v>75000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35">
      <c r="A20" s="4"/>
      <c r="B20" s="2"/>
      <c r="C20" s="4"/>
      <c r="D20" s="4" t="s">
        <v>135</v>
      </c>
      <c r="E20" s="4" t="str">
        <f>IFERROR(VLOOKUP(PurchaseData[[#This Row],[HSN Code]],ProductsData[#All],2,0),"")</f>
        <v>Mobile Phone</v>
      </c>
      <c r="F20" s="4" t="str">
        <f>IFERROR(VLOOKUP(PurchaseData[[#This Row],[HSN Code]],vendorsdata[#All],3,0),"")</f>
        <v>TechStar</v>
      </c>
      <c r="G20" s="23">
        <v>46011</v>
      </c>
      <c r="H20" s="4">
        <v>30</v>
      </c>
      <c r="I20" s="4">
        <f>IFERROR(VLOOKUP(PurchaseData[[#This Row],[HSN Code]],ProductsData[#All],3,0),"")</f>
        <v>30000</v>
      </c>
      <c r="J20" s="4">
        <f>IFERROR(PurchaseData[[#This Row],[Units]]*PurchaseData[[#This Row],[Cost]],"")</f>
        <v>900000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35">
      <c r="A21" s="4"/>
      <c r="B21" s="2"/>
      <c r="C21" s="4"/>
      <c r="D21" s="4" t="s">
        <v>77</v>
      </c>
      <c r="E21" s="4" t="str">
        <f>IFERROR(VLOOKUP(PurchaseData[[#This Row],[HSN Code]],ProductsData[#All],2,0),"")</f>
        <v>Speakers</v>
      </c>
      <c r="F21" s="4" t="str">
        <f>IFERROR(VLOOKUP(PurchaseData[[#This Row],[HSN Code]],vendorsdata[#All],3,0),"")</f>
        <v>Compac</v>
      </c>
      <c r="G21" s="23">
        <v>46012</v>
      </c>
      <c r="H21" s="4">
        <v>20</v>
      </c>
      <c r="I21" s="4">
        <f>IFERROR(VLOOKUP(PurchaseData[[#This Row],[HSN Code]],ProductsData[#All],3,0),"")</f>
        <v>3500</v>
      </c>
      <c r="J21" s="4">
        <f>IFERROR(PurchaseData[[#This Row],[Units]]*PurchaseData[[#This Row],[Cost]],"")</f>
        <v>70000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35">
      <c r="A22" s="4"/>
      <c r="B22" s="2"/>
      <c r="C22" s="4"/>
      <c r="D22" s="4" t="s">
        <v>69</v>
      </c>
      <c r="E22" s="4" t="str">
        <f>IFERROR(VLOOKUP(PurchaseData[[#This Row],[HSN Code]],ProductsData[#All],2,0),"")</f>
        <v>Smart Watch</v>
      </c>
      <c r="F22" s="4" t="str">
        <f>IFERROR(VLOOKUP(PurchaseData[[#This Row],[HSN Code]],vendorsdata[#All],3,0),"")</f>
        <v>Tech99</v>
      </c>
      <c r="G22" s="23">
        <v>46016</v>
      </c>
      <c r="H22" s="4">
        <v>10</v>
      </c>
      <c r="I22" s="4">
        <f>IFERROR(VLOOKUP(PurchaseData[[#This Row],[HSN Code]],ProductsData[#All],3,0),"")</f>
        <v>1500</v>
      </c>
      <c r="J22" s="4">
        <f>IFERROR(PurchaseData[[#This Row],[Units]]*PurchaseData[[#This Row],[Cost]],"")</f>
        <v>15000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35">
      <c r="A23" s="4"/>
      <c r="B23" s="2"/>
      <c r="C23" s="4"/>
      <c r="D23" s="4"/>
      <c r="E23" s="4"/>
      <c r="F23" s="1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35">
      <c r="A24" s="4"/>
      <c r="B24" s="2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35">
      <c r="A25" s="4"/>
      <c r="B25" s="2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35">
      <c r="A26" s="4"/>
      <c r="B26" s="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35">
      <c r="A27" s="4"/>
      <c r="B27" s="2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35">
      <c r="A28" s="4"/>
      <c r="B28" s="2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</sheetData>
  <phoneticPr fontId="2" type="noConversion"/>
  <dataValidations count="1">
    <dataValidation type="list" allowBlank="1" showInputMessage="1" showErrorMessage="1" sqref="D8:D22" xr:uid="{422A5540-E93D-4B6F-BE18-3864278F792C}">
      <formula1>HSN_Code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B8F5-4D7E-44EE-A8F3-8AB8D870972A}">
  <dimension ref="A1:X35"/>
  <sheetViews>
    <sheetView zoomScale="65" workbookViewId="0"/>
  </sheetViews>
  <sheetFormatPr defaultRowHeight="21" x14ac:dyDescent="0.35"/>
  <cols>
    <col min="1" max="1" width="3.90625" customWidth="1"/>
    <col min="2" max="2" width="19.453125" customWidth="1"/>
    <col min="3" max="3" width="5.81640625" customWidth="1"/>
    <col min="4" max="4" width="12.08984375" customWidth="1"/>
    <col min="5" max="5" width="11.90625" customWidth="1"/>
    <col min="6" max="6" width="11.26953125" customWidth="1"/>
    <col min="7" max="7" width="18.81640625" bestFit="1" customWidth="1"/>
    <col min="8" max="9" width="12.08984375" customWidth="1"/>
    <col min="12" max="12" width="8.81640625" customWidth="1"/>
  </cols>
  <sheetData>
    <row r="1" spans="1:24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4"/>
      <c r="B2" s="2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35">
      <c r="A3" s="4"/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35">
      <c r="A4" s="4"/>
      <c r="B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35">
      <c r="A5" s="4"/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5">
      <c r="A6" s="4"/>
      <c r="B6" s="2"/>
      <c r="C6" s="4"/>
      <c r="D6" s="4" t="s">
        <v>130</v>
      </c>
      <c r="E6" s="4" t="s">
        <v>131</v>
      </c>
      <c r="F6" s="4" t="s">
        <v>65</v>
      </c>
      <c r="G6" s="4" t="s">
        <v>66</v>
      </c>
      <c r="H6" s="4" t="s">
        <v>89</v>
      </c>
      <c r="I6" s="4" t="s">
        <v>94</v>
      </c>
      <c r="J6" s="4" t="s">
        <v>90</v>
      </c>
      <c r="K6" s="4" t="s">
        <v>129</v>
      </c>
      <c r="L6" s="4" t="s">
        <v>123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35">
      <c r="A7" s="4"/>
      <c r="B7" s="2"/>
      <c r="C7" s="4"/>
      <c r="D7" s="4" t="s">
        <v>4</v>
      </c>
      <c r="E7" s="4" t="str">
        <f>IFERROR(VLOOKUP(SalesData[[#This Row],[Cust ID]],CustomersData[#All],2,0),"")</f>
        <v>Ali Khan</v>
      </c>
      <c r="F7" s="4" t="s">
        <v>71</v>
      </c>
      <c r="G7" s="4" t="str">
        <f>IFERROR(VLOOKUP(SalesData[[#This Row],[HSN Code]],ProductsData[#All],2,0),"")</f>
        <v>Wireless Printer</v>
      </c>
      <c r="H7" s="23">
        <v>45910</v>
      </c>
      <c r="I7" s="4">
        <f>IFERROR(VLOOKUP(SalesData[[#This Row],[HSN Code]],InventoryData[#All],6,0),"")</f>
        <v>14</v>
      </c>
      <c r="J7" s="4">
        <v>5</v>
      </c>
      <c r="K7" s="4">
        <f>IFERROR(VLOOKUP(SalesData[[#This Row],[HSN Code]],ProductsData[#All],4,0),"")</f>
        <v>50000</v>
      </c>
      <c r="L7" s="4">
        <f>IFERROR(SalesData[[#This Row],[Units]]*SalesData[[#This Row],[Price]],"")</f>
        <v>250000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5">
      <c r="A8" s="4"/>
      <c r="B8" s="2"/>
      <c r="C8" s="4"/>
      <c r="D8" s="4" t="s">
        <v>5</v>
      </c>
      <c r="E8" s="4" t="str">
        <f>IFERROR(VLOOKUP(SalesData[[#This Row],[Cust ID]],CustomersData[#All],2,0),"")</f>
        <v>Ahmed Raza</v>
      </c>
      <c r="F8" s="4" t="s">
        <v>73</v>
      </c>
      <c r="G8" s="4" t="str">
        <f>IFERROR(VLOOKUP(SalesData[[#This Row],[HSN Code]],ProductsData[#All],2,0),"")</f>
        <v>Mouse</v>
      </c>
      <c r="H8" s="23">
        <v>45911</v>
      </c>
      <c r="I8" s="4">
        <f>IFERROR(VLOOKUP(SalesData[[#This Row],[HSN Code]],InventoryData[#All],6,0),"")</f>
        <v>18</v>
      </c>
      <c r="J8" s="4">
        <v>2</v>
      </c>
      <c r="K8" s="4">
        <f>IFERROR(VLOOKUP(SalesData[[#This Row],[HSN Code]],ProductsData[#All],4,0),"")</f>
        <v>1000</v>
      </c>
      <c r="L8" s="4">
        <f>IFERROR(SalesData[[#This Row],[Units]]*SalesData[[#This Row],[Price]],"")</f>
        <v>2000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35">
      <c r="A9" s="4"/>
      <c r="B9" s="2"/>
      <c r="C9" s="4"/>
      <c r="D9" s="4" t="s">
        <v>6</v>
      </c>
      <c r="E9" s="4" t="str">
        <f>IFERROR(VLOOKUP(SalesData[[#This Row],[Cust ID]],CustomersData[#All],2,0),"")</f>
        <v>Usman Tariq</v>
      </c>
      <c r="F9" s="4" t="s">
        <v>74</v>
      </c>
      <c r="G9" s="4" t="str">
        <f>IFERROR(VLOOKUP(SalesData[[#This Row],[HSN Code]],ProductsData[#All],2,0),"")</f>
        <v>Rgb Keyboard</v>
      </c>
      <c r="H9" s="23">
        <v>45912</v>
      </c>
      <c r="I9" s="4">
        <f>IFERROR(VLOOKUP(SalesData[[#This Row],[HSN Code]],InventoryData[#All],6,0),"")</f>
        <v>3</v>
      </c>
      <c r="J9" s="4">
        <v>3</v>
      </c>
      <c r="K9" s="4">
        <f>IFERROR(VLOOKUP(SalesData[[#This Row],[HSN Code]],ProductsData[#All],4,0),"")</f>
        <v>7500</v>
      </c>
      <c r="L9" s="4">
        <f>IFERROR(SalesData[[#This Row],[Units]]*SalesData[[#This Row],[Price]],"")</f>
        <v>22500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35">
      <c r="A10" s="4"/>
      <c r="B10" s="2"/>
      <c r="C10" s="4"/>
      <c r="D10" s="4" t="s">
        <v>7</v>
      </c>
      <c r="E10" s="4" t="str">
        <f>IFERROR(VLOOKUP(SalesData[[#This Row],[Cust ID]],CustomersData[#All],2,0),"")</f>
        <v>Hassan Ali</v>
      </c>
      <c r="F10" s="4" t="s">
        <v>75</v>
      </c>
      <c r="G10" s="4" t="str">
        <f>IFERROR(VLOOKUP(SalesData[[#This Row],[HSN Code]],ProductsData[#All],2,0),"")</f>
        <v>Camera</v>
      </c>
      <c r="H10" s="23">
        <v>45913</v>
      </c>
      <c r="I10" s="4">
        <f>IFERROR(VLOOKUP(SalesData[[#This Row],[HSN Code]],InventoryData[#All],6,0),"")</f>
        <v>36</v>
      </c>
      <c r="J10" s="4">
        <v>4</v>
      </c>
      <c r="K10" s="4">
        <f>IFERROR(VLOOKUP(SalesData[[#This Row],[HSN Code]],ProductsData[#All],4,0),"")</f>
        <v>15000</v>
      </c>
      <c r="L10" s="4">
        <f>IFERROR(SalesData[[#This Row],[Units]]*SalesData[[#This Row],[Price]],"")</f>
        <v>60000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35">
      <c r="A11" s="4"/>
      <c r="B11" s="2"/>
      <c r="C11" s="4"/>
      <c r="D11" s="4" t="s">
        <v>8</v>
      </c>
      <c r="E11" s="4" t="str">
        <f>IFERROR(VLOOKUP(SalesData[[#This Row],[Cust ID]],CustomersData[#All],2,0),"")</f>
        <v>Salman Ahmed</v>
      </c>
      <c r="F11" s="4" t="s">
        <v>76</v>
      </c>
      <c r="G11" s="4" t="str">
        <f>IFERROR(VLOOKUP(SalesData[[#This Row],[HSN Code]],ProductsData[#All],2,0),"")</f>
        <v>Headphones</v>
      </c>
      <c r="H11" s="23">
        <v>45944</v>
      </c>
      <c r="I11" s="4">
        <f>IFERROR(VLOOKUP(SalesData[[#This Row],[HSN Code]],InventoryData[#All],6,0),"")</f>
        <v>54</v>
      </c>
      <c r="J11" s="4">
        <v>6</v>
      </c>
      <c r="K11" s="4">
        <f>IFERROR(VLOOKUP(SalesData[[#This Row],[HSN Code]],ProductsData[#All],4,0),"")</f>
        <v>5000</v>
      </c>
      <c r="L11" s="4">
        <f>IFERROR(SalesData[[#This Row],[Units]]*SalesData[[#This Row],[Price]],"")</f>
        <v>30000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35">
      <c r="A12" s="4"/>
      <c r="B12" s="2"/>
      <c r="C12" s="4"/>
      <c r="D12" s="4" t="s">
        <v>9</v>
      </c>
      <c r="E12" s="4" t="str">
        <f>IFERROR(VLOOKUP(SalesData[[#This Row],[Cust ID]],CustomersData[#All],2,0),"")</f>
        <v>Bilal Hussain</v>
      </c>
      <c r="F12" s="4" t="s">
        <v>77</v>
      </c>
      <c r="G12" s="4" t="str">
        <f>IFERROR(VLOOKUP(SalesData[[#This Row],[HSN Code]],ProductsData[#All],2,0),"")</f>
        <v>Speakers</v>
      </c>
      <c r="H12" s="23">
        <v>45945</v>
      </c>
      <c r="I12" s="4">
        <f>IFERROR(VLOOKUP(SalesData[[#This Row],[HSN Code]],InventoryData[#All],6,0),"")</f>
        <v>12</v>
      </c>
      <c r="J12" s="4">
        <v>8</v>
      </c>
      <c r="K12" s="4">
        <f>IFERROR(VLOOKUP(SalesData[[#This Row],[HSN Code]],ProductsData[#All],4,0),"")</f>
        <v>4375</v>
      </c>
      <c r="L12" s="4">
        <f>IFERROR(SalesData[[#This Row],[Units]]*SalesData[[#This Row],[Price]],"")</f>
        <v>35000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35">
      <c r="A13" s="4"/>
      <c r="B13" s="2"/>
      <c r="C13" s="4"/>
      <c r="D13" s="4" t="s">
        <v>10</v>
      </c>
      <c r="E13" s="4" t="str">
        <f>IFERROR(VLOOKUP(SalesData[[#This Row],[Cust ID]],CustomersData[#All],2,0),"")</f>
        <v>Adeel Malik</v>
      </c>
      <c r="F13" s="4" t="s">
        <v>78</v>
      </c>
      <c r="G13" s="4" t="str">
        <f>IFERROR(VLOOKUP(SalesData[[#This Row],[HSN Code]],ProductsData[#All],2,0),"")</f>
        <v>Tablets</v>
      </c>
      <c r="H13" s="23">
        <v>45946</v>
      </c>
      <c r="I13" s="4">
        <f>IFERROR(VLOOKUP(SalesData[[#This Row],[HSN Code]],InventoryData[#All],6,0),"")</f>
        <v>14</v>
      </c>
      <c r="J13" s="4">
        <v>6</v>
      </c>
      <c r="K13" s="4">
        <f>IFERROR(VLOOKUP(SalesData[[#This Row],[HSN Code]],ProductsData[#All],4,0),"")</f>
        <v>22500</v>
      </c>
      <c r="L13" s="4">
        <f>IFERROR(SalesData[[#This Row],[Units]]*SalesData[[#This Row],[Price]],"")</f>
        <v>135000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35">
      <c r="A14" s="4"/>
      <c r="B14" s="2"/>
      <c r="C14" s="4"/>
      <c r="D14" s="4" t="s">
        <v>11</v>
      </c>
      <c r="E14" s="4" t="str">
        <f>IFERROR(VLOOKUP(SalesData[[#This Row],[Cust ID]],CustomersData[#All],2,0),"")</f>
        <v>Farhan Iqbal</v>
      </c>
      <c r="F14" s="4" t="s">
        <v>124</v>
      </c>
      <c r="G14" s="4" t="str">
        <f>IFERROR(VLOOKUP(SalesData[[#This Row],[HSN Code]],ProductsData[#All],2,0),"")</f>
        <v>Airpods</v>
      </c>
      <c r="H14" s="23">
        <v>45947</v>
      </c>
      <c r="I14" s="4">
        <f>IFERROR(VLOOKUP(SalesData[[#This Row],[HSN Code]],InventoryData[#All],6,0),"")</f>
        <v>56</v>
      </c>
      <c r="J14" s="4">
        <v>4</v>
      </c>
      <c r="K14" s="4">
        <f>IFERROR(VLOOKUP(SalesData[[#This Row],[HSN Code]],ProductsData[#All],4,0),"")</f>
        <v>3125</v>
      </c>
      <c r="L14" s="4">
        <f>IFERROR(SalesData[[#This Row],[Units]]*SalesData[[#This Row],[Price]],"")</f>
        <v>12500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35">
      <c r="A15" s="4"/>
      <c r="B15" s="2"/>
      <c r="C15" s="4"/>
      <c r="D15" s="4" t="s">
        <v>12</v>
      </c>
      <c r="E15" s="4" t="str">
        <f>IFERROR(VLOOKUP(SalesData[[#This Row],[Cust ID]],CustomersData[#All],2,0),"")</f>
        <v>Imran Shah</v>
      </c>
      <c r="F15" s="4" t="s">
        <v>69</v>
      </c>
      <c r="G15" s="4" t="str">
        <f>IFERROR(VLOOKUP(SalesData[[#This Row],[HSN Code]],ProductsData[#All],2,0),"")</f>
        <v>Smart Watch</v>
      </c>
      <c r="H15" s="23">
        <v>45979</v>
      </c>
      <c r="I15" s="4">
        <f>IFERROR(VLOOKUP(SalesData[[#This Row],[HSN Code]],InventoryData[#All],6,0),"")</f>
        <v>80</v>
      </c>
      <c r="J15" s="4">
        <v>5</v>
      </c>
      <c r="K15" s="4">
        <f>IFERROR(VLOOKUP(SalesData[[#This Row],[HSN Code]],ProductsData[#All],4,0),"")</f>
        <v>1875</v>
      </c>
      <c r="L15" s="4">
        <f>IFERROR(SalesData[[#This Row],[Units]]*SalesData[[#This Row],[Price]],"")</f>
        <v>9375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35">
      <c r="A16" s="4"/>
      <c r="B16" s="2"/>
      <c r="C16" s="4"/>
      <c r="D16" s="4" t="s">
        <v>13</v>
      </c>
      <c r="E16" s="4" t="str">
        <f>IFERROR(VLOOKUP(SalesData[[#This Row],[Cust ID]],CustomersData[#All],2,0),"")</f>
        <v>Zubair Ahmad</v>
      </c>
      <c r="F16" s="4" t="s">
        <v>70</v>
      </c>
      <c r="G16" s="4" t="str">
        <f>IFERROR(VLOOKUP(SalesData[[#This Row],[HSN Code]],ProductsData[#All],2,0),"")</f>
        <v>HP Laptop Elitebook i5</v>
      </c>
      <c r="H16" s="23">
        <v>45980</v>
      </c>
      <c r="I16" s="4">
        <f>IFERROR(VLOOKUP(SalesData[[#This Row],[HSN Code]],InventoryData[#All],6,0),"")</f>
        <v>8</v>
      </c>
      <c r="J16" s="4">
        <v>2</v>
      </c>
      <c r="K16" s="4">
        <f>IFERROR(VLOOKUP(SalesData[[#This Row],[HSN Code]],ProductsData[#All],4,0),"")</f>
        <v>112500</v>
      </c>
      <c r="L16" s="4">
        <f>IFERROR(SalesData[[#This Row],[Units]]*SalesData[[#This Row],[Price]],"")</f>
        <v>225000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35">
      <c r="A17" s="4"/>
      <c r="B17" s="2"/>
      <c r="C17" s="4"/>
      <c r="D17" s="4" t="s">
        <v>14</v>
      </c>
      <c r="E17" s="4" t="str">
        <f>IFERROR(VLOOKUP(SalesData[[#This Row],[Cust ID]],CustomersData[#All],2,0),"")</f>
        <v>Kamran Akhtar</v>
      </c>
      <c r="F17" s="4" t="s">
        <v>71</v>
      </c>
      <c r="G17" s="4" t="str">
        <f>IFERROR(VLOOKUP(SalesData[[#This Row],[HSN Code]],ProductsData[#All],2,0),"")</f>
        <v>Wireless Printer</v>
      </c>
      <c r="H17" s="23">
        <v>46011</v>
      </c>
      <c r="I17" s="4">
        <f>IFERROR(VLOOKUP(SalesData[[#This Row],[HSN Code]],InventoryData[#All],6,0),"")</f>
        <v>14</v>
      </c>
      <c r="J17" s="4">
        <v>6</v>
      </c>
      <c r="K17" s="4">
        <f>IFERROR(VLOOKUP(SalesData[[#This Row],[HSN Code]],ProductsData[#All],4,0),"")</f>
        <v>50000</v>
      </c>
      <c r="L17" s="4">
        <f>IFERROR(SalesData[[#This Row],[Units]]*SalesData[[#This Row],[Price]],"")</f>
        <v>300000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35">
      <c r="A18" s="4"/>
      <c r="B18" s="2"/>
      <c r="C18" s="4"/>
      <c r="D18" s="4" t="s">
        <v>15</v>
      </c>
      <c r="E18" s="4" t="str">
        <f>IFERROR(VLOOKUP(SalesData[[#This Row],[Cust ID]],CustomersData[#All],2,0),"")</f>
        <v>Faisal Mehmood</v>
      </c>
      <c r="F18" s="4" t="s">
        <v>72</v>
      </c>
      <c r="G18" s="4" t="str">
        <f>IFERROR(VLOOKUP(SalesData[[#This Row],[HSN Code]],ProductsData[#All],2,0),"")</f>
        <v>Desktop</v>
      </c>
      <c r="H18" s="23">
        <v>46012</v>
      </c>
      <c r="I18" s="4">
        <f>IFERROR(VLOOKUP(SalesData[[#This Row],[HSN Code]],InventoryData[#All],6,0),"")</f>
        <v>2</v>
      </c>
      <c r="J18" s="4">
        <v>8</v>
      </c>
      <c r="K18" s="4">
        <f>IFERROR(VLOOKUP(SalesData[[#This Row],[HSN Code]],ProductsData[#All],4,0),"")</f>
        <v>37500</v>
      </c>
      <c r="L18" s="4">
        <f>IFERROR(SalesData[[#This Row],[Units]]*SalesData[[#This Row],[Price]],"")</f>
        <v>300000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35">
      <c r="A19" s="4"/>
      <c r="B19" s="2"/>
      <c r="C19" s="4"/>
      <c r="D19" s="4" t="s">
        <v>16</v>
      </c>
      <c r="E19" s="4" t="str">
        <f>IFERROR(VLOOKUP(SalesData[[#This Row],[Cust ID]],CustomersData[#All],2,0),"")</f>
        <v>Shahzaib Khan</v>
      </c>
      <c r="F19" s="4" t="s">
        <v>135</v>
      </c>
      <c r="G19" s="4" t="str">
        <f>IFERROR(VLOOKUP(SalesData[[#This Row],[HSN Code]],ProductsData[#All],2,0),"")</f>
        <v>Mobile Phone</v>
      </c>
      <c r="H19" s="23">
        <v>46013</v>
      </c>
      <c r="I19" s="4">
        <f>IFERROR(VLOOKUP(SalesData[[#This Row],[HSN Code]],InventoryData[#All],6,0),"")</f>
        <v>27</v>
      </c>
      <c r="J19" s="4">
        <v>3</v>
      </c>
      <c r="K19" s="4">
        <f>IFERROR(VLOOKUP(SalesData[[#This Row],[HSN Code]],ProductsData[#All],4,0),"")</f>
        <v>37500</v>
      </c>
      <c r="L19" s="4">
        <f>IFERROR(SalesData[[#This Row],[Units]]*SalesData[[#This Row],[Price]],"")</f>
        <v>112500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35">
      <c r="A20" s="4"/>
      <c r="B20" s="2"/>
      <c r="C20" s="4"/>
      <c r="D20" s="4" t="s">
        <v>17</v>
      </c>
      <c r="E20" s="4" t="str">
        <f>IFERROR(VLOOKUP(SalesData[[#This Row],[Cust ID]],CustomersData[#All],2,0),"")</f>
        <v>Noman Ali</v>
      </c>
      <c r="F20" s="4" t="s">
        <v>74</v>
      </c>
      <c r="G20" s="4" t="str">
        <f>IFERROR(VLOOKUP(SalesData[[#This Row],[HSN Code]],ProductsData[#All],2,0),"")</f>
        <v>Rgb Keyboard</v>
      </c>
      <c r="H20" s="23">
        <v>46014</v>
      </c>
      <c r="I20" s="4">
        <f>IFERROR(VLOOKUP(SalesData[[#This Row],[HSN Code]],InventoryData[#All],6,0),"")</f>
        <v>3</v>
      </c>
      <c r="J20" s="4">
        <v>4</v>
      </c>
      <c r="K20" s="4">
        <f>IFERROR(VLOOKUP(SalesData[[#This Row],[HSN Code]],ProductsData[#All],4,0),"")</f>
        <v>7500</v>
      </c>
      <c r="L20" s="4">
        <f>IFERROR(SalesData[[#This Row],[Units]]*SalesData[[#This Row],[Price]],"")</f>
        <v>30000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35">
      <c r="A21" s="4"/>
      <c r="B21" s="2"/>
      <c r="C21" s="4"/>
      <c r="D21" s="4"/>
      <c r="E21" s="4" t="str">
        <f>IFERROR(VLOOKUP(SalesData[[#This Row],[Cust ID]],CustomersData[#All],2,0),"")</f>
        <v/>
      </c>
      <c r="F21" s="4"/>
      <c r="G21" s="4" t="str">
        <f>IFERROR(VLOOKUP(SalesData[[#This Row],[HSN Code]],ProductsData[#All],2,0),"")</f>
        <v/>
      </c>
      <c r="H21" s="4"/>
      <c r="I21" s="4" t="str">
        <f>IFERROR(VLOOKUP(SalesData[[#This Row],[HSN Code]],InventoryData[#All],6,0),"")</f>
        <v/>
      </c>
      <c r="J21" s="4"/>
      <c r="K21" s="4" t="str">
        <f>IFERROR(VLOOKUP(SalesData[[#This Row],[HSN Code]],ProductsData[#All],4,0),"")</f>
        <v/>
      </c>
      <c r="L21" s="4" t="str">
        <f>IFERROR(SalesData[[#This Row],[Units]]*SalesData[[#This Row],[Price]],"")</f>
        <v/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35">
      <c r="A22" s="4"/>
      <c r="B22" s="2"/>
      <c r="C22" s="4"/>
      <c r="D22" s="4"/>
      <c r="E22" s="4" t="str">
        <f>IFERROR(VLOOKUP(SalesData[[#This Row],[Cust ID]],CustomersData[#All],2,0),"")</f>
        <v/>
      </c>
      <c r="F22" s="4"/>
      <c r="G22" s="4" t="str">
        <f>IFERROR(VLOOKUP(SalesData[[#This Row],[HSN Code]],ProductsData[#All],2,0),"")</f>
        <v/>
      </c>
      <c r="H22" s="4"/>
      <c r="I22" s="4" t="str">
        <f>IFERROR(VLOOKUP(SalesData[[#This Row],[HSN Code]],InventoryData[#All],6,0),"")</f>
        <v/>
      </c>
      <c r="J22" s="4"/>
      <c r="K22" s="4" t="str">
        <f>IFERROR(VLOOKUP(SalesData[[#This Row],[HSN Code]],ProductsData[#All],4,0),"")</f>
        <v/>
      </c>
      <c r="L22" s="4" t="str">
        <f>IFERROR(SalesData[[#This Row],[Units]]*SalesData[[#This Row],[Price]],"")</f>
        <v/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35">
      <c r="A23" s="4"/>
      <c r="B23" s="2"/>
      <c r="C23" s="4"/>
      <c r="D23" s="4"/>
      <c r="E23" s="4" t="str">
        <f>IFERROR(VLOOKUP(SalesData[[#This Row],[Cust ID]],CustomersData[#All],2,0),"")</f>
        <v/>
      </c>
      <c r="F23" s="4"/>
      <c r="G23" s="4" t="str">
        <f>IFERROR(VLOOKUP(SalesData[[#This Row],[HSN Code]],ProductsData[#All],2,0),"")</f>
        <v/>
      </c>
      <c r="H23" s="4"/>
      <c r="I23" s="4" t="str">
        <f>IFERROR(VLOOKUP(SalesData[[#This Row],[HSN Code]],InventoryData[#All],6,0),"")</f>
        <v/>
      </c>
      <c r="J23" s="4"/>
      <c r="K23" s="4" t="str">
        <f>IFERROR(VLOOKUP(SalesData[[#This Row],[HSN Code]],ProductsData[#All],4,0),"")</f>
        <v/>
      </c>
      <c r="L23" s="4" t="str">
        <f>IFERROR(SalesData[[#This Row],[Units]]*SalesData[[#This Row],[Price]],"")</f>
        <v/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35">
      <c r="A24" s="4"/>
      <c r="B24" s="2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35">
      <c r="A25" s="4"/>
      <c r="B25" s="2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35">
      <c r="A26" s="4"/>
      <c r="B26" s="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35">
      <c r="A27" s="4"/>
      <c r="B27" s="2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35">
      <c r="A28" s="4"/>
      <c r="B28" s="2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</sheetData>
  <phoneticPr fontId="2" type="noConversion"/>
  <dataValidations count="2">
    <dataValidation type="list" allowBlank="1" showInputMessage="1" showErrorMessage="1" sqref="D7:D23" xr:uid="{2BD68DE3-640D-4023-B5B3-B084239DC57B}">
      <formula1>Cust_ID</formula1>
    </dataValidation>
    <dataValidation type="list" allowBlank="1" showInputMessage="1" showErrorMessage="1" sqref="F7:F23" xr:uid="{C0FBA250-FA80-471D-8B35-AF1BBFABB1EA}">
      <formula1>HSN_Code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6458-C56E-4F74-A006-670E252C6CF0}">
  <dimension ref="A1:X35"/>
  <sheetViews>
    <sheetView zoomScale="60" workbookViewId="0">
      <selection activeCell="H10" sqref="H10"/>
    </sheetView>
  </sheetViews>
  <sheetFormatPr defaultRowHeight="21" x14ac:dyDescent="0.35"/>
  <cols>
    <col min="1" max="1" width="3.6328125" customWidth="1"/>
    <col min="2" max="2" width="19.81640625" customWidth="1"/>
    <col min="3" max="3" width="5.36328125" customWidth="1"/>
    <col min="4" max="4" width="11.6328125" bestFit="1" customWidth="1"/>
    <col min="5" max="5" width="13.81640625" customWidth="1"/>
    <col min="6" max="6" width="9.1796875" customWidth="1"/>
    <col min="7" max="7" width="15.26953125" style="1" customWidth="1"/>
    <col min="8" max="8" width="11.6328125" style="1" bestFit="1" customWidth="1"/>
    <col min="9" max="9" width="9.90625" style="1" customWidth="1"/>
    <col min="10" max="10" width="13.7265625" customWidth="1"/>
    <col min="11" max="11" width="18.81640625" hidden="1" customWidth="1"/>
  </cols>
  <sheetData>
    <row r="1" spans="1:24" x14ac:dyDescent="0.35">
      <c r="A1" s="4"/>
      <c r="B1" s="4"/>
      <c r="C1" s="4"/>
      <c r="D1" s="4"/>
      <c r="E1" s="4"/>
      <c r="F1" s="4"/>
      <c r="G1" s="27"/>
      <c r="H1" s="27"/>
      <c r="I1" s="27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4"/>
      <c r="B2" s="2"/>
      <c r="C2" s="4"/>
      <c r="D2" s="4"/>
      <c r="E2" s="4"/>
      <c r="F2" s="4"/>
      <c r="G2" s="27"/>
      <c r="H2" s="27"/>
      <c r="I2" s="2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35">
      <c r="A3" s="4"/>
      <c r="B3" s="2"/>
      <c r="C3" s="4"/>
      <c r="D3" s="4"/>
      <c r="E3" s="4"/>
      <c r="F3" s="4"/>
      <c r="G3" s="27"/>
      <c r="H3" s="27"/>
      <c r="I3" s="2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35">
      <c r="A4" s="4"/>
      <c r="B4" s="2"/>
      <c r="C4" s="4"/>
      <c r="D4" s="4"/>
      <c r="E4" s="4"/>
      <c r="F4" s="4"/>
      <c r="G4" s="27"/>
      <c r="H4" s="27"/>
      <c r="I4" s="2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x14ac:dyDescent="0.35">
      <c r="A5" s="4"/>
      <c r="B5" s="2"/>
      <c r="C5" s="4"/>
      <c r="D5" s="4"/>
      <c r="E5" s="4"/>
      <c r="F5" s="4"/>
      <c r="G5" s="27"/>
      <c r="H5" s="27"/>
      <c r="I5" s="2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x14ac:dyDescent="0.35">
      <c r="A6" s="4"/>
      <c r="B6" s="2"/>
      <c r="C6" s="4"/>
      <c r="D6" s="4"/>
      <c r="E6" s="4"/>
      <c r="F6" s="4"/>
      <c r="G6" s="27"/>
      <c r="H6" s="27"/>
      <c r="I6" s="27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x14ac:dyDescent="0.35">
      <c r="A7" s="4"/>
      <c r="B7" s="2"/>
      <c r="C7" s="4"/>
      <c r="D7" s="16" t="s">
        <v>65</v>
      </c>
      <c r="E7" s="16" t="s">
        <v>66</v>
      </c>
      <c r="F7" s="16" t="s">
        <v>67</v>
      </c>
      <c r="G7" s="28" t="s">
        <v>133</v>
      </c>
      <c r="H7" s="28" t="s">
        <v>95</v>
      </c>
      <c r="I7" s="28" t="s">
        <v>134</v>
      </c>
      <c r="J7" s="16" t="s">
        <v>96</v>
      </c>
      <c r="K7" s="16" t="s">
        <v>150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35">
      <c r="A8" s="4"/>
      <c r="B8" s="2"/>
      <c r="C8" s="4"/>
      <c r="D8" s="4" t="str">
        <f>IFERROR(ProductsData[[#This Row],[HSN Code]],"")</f>
        <v>N10021</v>
      </c>
      <c r="E8" s="4" t="str">
        <f>IFERROR(ProductsData[[#This Row],[Product Name]],"")</f>
        <v>Smart Watch</v>
      </c>
      <c r="F8" s="4">
        <f>IFERROR(ProductsData[[#This Row],[Cost]],"")</f>
        <v>1500</v>
      </c>
      <c r="G8" s="27">
        <f>SUMIF(PurchaseData[Product Name],InventoryData[[#This Row],[Product Name]],PurchaseData[Units])</f>
        <v>85</v>
      </c>
      <c r="H8" s="27">
        <f>SUMIF(SalesData[Product Name],InventoryData[[#This Row],[Product Name]],SalesData[Units])</f>
        <v>5</v>
      </c>
      <c r="I8" s="27">
        <f>InventoryData[[#This Row],[Purchase Units]]-InventoryData[[#This Row],[Sold Units]]</f>
        <v>80</v>
      </c>
      <c r="J8" s="4">
        <f>IFERROR(InventoryData[[#This Row],[Stock ]]*InventoryData[[#This Row],[Cost]],"")</f>
        <v>120000</v>
      </c>
      <c r="K8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35">
      <c r="A9" s="4"/>
      <c r="B9" s="2"/>
      <c r="C9" s="4"/>
      <c r="D9" s="4" t="str">
        <f>IFERROR(ProductsData[[#This Row],[HSN Code]],"")</f>
        <v>N10022</v>
      </c>
      <c r="E9" s="4" t="str">
        <f>IFERROR(ProductsData[[#This Row],[Product Name]],"")</f>
        <v>HP Laptop Elitebook i5</v>
      </c>
      <c r="F9" s="4">
        <f>IFERROR(ProductsData[[#This Row],[Cost]],"")</f>
        <v>90000</v>
      </c>
      <c r="G9" s="27">
        <f>SUMIF(PurchaseData[Product Name],InventoryData[[#This Row],[Product Name]],PurchaseData[Units])</f>
        <v>10</v>
      </c>
      <c r="H9" s="27">
        <f>SUMIF(SalesData[Product Name],InventoryData[[#This Row],[Product Name]],SalesData[Units])</f>
        <v>2</v>
      </c>
      <c r="I9" s="27">
        <f>InventoryData[[#This Row],[Purchase Units]]-InventoryData[[#This Row],[Sold Units]]</f>
        <v>8</v>
      </c>
      <c r="J9" s="4">
        <f>IFERROR(InventoryData[[#This Row],[Stock ]]*InventoryData[[#This Row],[Cost]],"")</f>
        <v>720000</v>
      </c>
      <c r="K9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x14ac:dyDescent="0.35">
      <c r="A10" s="4"/>
      <c r="B10" s="2"/>
      <c r="C10" s="4"/>
      <c r="D10" s="4" t="str">
        <f>IFERROR(ProductsData[[#This Row],[HSN Code]],"")</f>
        <v>N10023</v>
      </c>
      <c r="E10" s="4" t="str">
        <f>IFERROR(ProductsData[[#This Row],[Product Name]],"")</f>
        <v>Wireless Printer</v>
      </c>
      <c r="F10" s="4">
        <f>IFERROR(ProductsData[[#This Row],[Cost]],"")</f>
        <v>40000</v>
      </c>
      <c r="G10" s="27">
        <f>SUMIF(PurchaseData[Product Name],InventoryData[[#This Row],[Product Name]],PurchaseData[Units])</f>
        <v>25</v>
      </c>
      <c r="H10" s="27">
        <f>SUMIF(SalesData[Product Name],InventoryData[[#This Row],[Product Name]],SalesData[Units])</f>
        <v>11</v>
      </c>
      <c r="I10" s="27">
        <f>InventoryData[[#This Row],[Purchase Units]]-InventoryData[[#This Row],[Sold Units]]</f>
        <v>14</v>
      </c>
      <c r="J10" s="4">
        <f>IFERROR(InventoryData[[#This Row],[Stock ]]*InventoryData[[#This Row],[Cost]],"")</f>
        <v>560000</v>
      </c>
      <c r="K10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35">
      <c r="A11" s="4"/>
      <c r="B11" s="2"/>
      <c r="C11" s="4"/>
      <c r="D11" s="4" t="str">
        <f>IFERROR(ProductsData[[#This Row],[HSN Code]],"")</f>
        <v>N10024</v>
      </c>
      <c r="E11" s="4" t="str">
        <f>IFERROR(ProductsData[[#This Row],[Product Name]],"")</f>
        <v>Desktop</v>
      </c>
      <c r="F11" s="4">
        <f>IFERROR(ProductsData[[#This Row],[Cost]],"")</f>
        <v>30000</v>
      </c>
      <c r="G11" s="27">
        <f>SUMIF(PurchaseData[Product Name],InventoryData[[#This Row],[Product Name]],PurchaseData[Units])</f>
        <v>10</v>
      </c>
      <c r="H11" s="27">
        <f>SUMIF(SalesData[Product Name],InventoryData[[#This Row],[Product Name]],SalesData[Units])</f>
        <v>8</v>
      </c>
      <c r="I11" s="27">
        <f>InventoryData[[#This Row],[Purchase Units]]-InventoryData[[#This Row],[Sold Units]]</f>
        <v>2</v>
      </c>
      <c r="J11" s="4">
        <f>IFERROR(InventoryData[[#This Row],[Stock ]]*InventoryData[[#This Row],[Cost]],"")</f>
        <v>60000</v>
      </c>
      <c r="K11" s="27" t="str">
        <f>IFERROR(IF(InventoryData[[#This Row],[Stock ]]&lt;5,"📞 "&amp;InventoryData[[#This Row],[Product Name]]&amp;" Needs to re-order !  PH "&amp;VLOOKUP(InventoryData[[#This Row],[HSN Code]],vendorsdata[#All],4,0),""),"")</f>
        <v>📞 Desktop Needs to re-order !  PH 9215xxxxxx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35">
      <c r="A12" s="4"/>
      <c r="B12" s="2"/>
      <c r="C12" s="4"/>
      <c r="D12" s="4" t="str">
        <f>IFERROR(ProductsData[[#This Row],[HSN Code]],"")</f>
        <v>N10025</v>
      </c>
      <c r="E12" s="4" t="str">
        <f>IFERROR(ProductsData[[#This Row],[Product Name]],"")</f>
        <v>Mouse</v>
      </c>
      <c r="F12" s="4">
        <f>IFERROR(ProductsData[[#This Row],[Cost]],"")</f>
        <v>800</v>
      </c>
      <c r="G12" s="27">
        <f>SUMIF(PurchaseData[Product Name],InventoryData[[#This Row],[Product Name]],PurchaseData[Units])</f>
        <v>20</v>
      </c>
      <c r="H12" s="27">
        <f>SUMIF(SalesData[Product Name],InventoryData[[#This Row],[Product Name]],SalesData[Units])</f>
        <v>2</v>
      </c>
      <c r="I12" s="27">
        <f>InventoryData[[#This Row],[Purchase Units]]-InventoryData[[#This Row],[Sold Units]]</f>
        <v>18</v>
      </c>
      <c r="J12" s="4">
        <f>IFERROR(InventoryData[[#This Row],[Stock ]]*InventoryData[[#This Row],[Cost]],"")</f>
        <v>14400</v>
      </c>
      <c r="K12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35">
      <c r="A13" s="4"/>
      <c r="B13" s="2"/>
      <c r="C13" s="4"/>
      <c r="D13" s="4" t="str">
        <f>IFERROR(ProductsData[[#This Row],[HSN Code]],"")</f>
        <v>N10026</v>
      </c>
      <c r="E13" s="4" t="str">
        <f>IFERROR(ProductsData[[#This Row],[Product Name]],"")</f>
        <v>Rgb Keyboard</v>
      </c>
      <c r="F13" s="4">
        <f>IFERROR(ProductsData[[#This Row],[Cost]],"")</f>
        <v>6000</v>
      </c>
      <c r="G13" s="27">
        <f>SUMIF(PurchaseData[Product Name],InventoryData[[#This Row],[Product Name]],PurchaseData[Units])</f>
        <v>10</v>
      </c>
      <c r="H13" s="27">
        <f>SUMIF(SalesData[Product Name],InventoryData[[#This Row],[Product Name]],SalesData[Units])</f>
        <v>7</v>
      </c>
      <c r="I13" s="27">
        <f>InventoryData[[#This Row],[Purchase Units]]-InventoryData[[#This Row],[Sold Units]]</f>
        <v>3</v>
      </c>
      <c r="J13" s="4">
        <f>IFERROR(InventoryData[[#This Row],[Stock ]]*InventoryData[[#This Row],[Cost]],"")</f>
        <v>18000</v>
      </c>
      <c r="K13" s="27" t="str">
        <f>IFERROR(IF(InventoryData[[#This Row],[Stock ]]&lt;5,"📞 "&amp;InventoryData[[#This Row],[Product Name]]&amp;" Needs to re-order !  PH "&amp;VLOOKUP(InventoryData[[#This Row],[HSN Code]],vendorsdata[#All],4,0),""),"")</f>
        <v>📞 Rgb Keyboard Needs to re-order !  PH 9217xxxxxx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35">
      <c r="A14" s="4"/>
      <c r="B14" s="2"/>
      <c r="C14" s="4"/>
      <c r="D14" s="4" t="str">
        <f>IFERROR(ProductsData[[#This Row],[HSN Code]],"")</f>
        <v>N10027</v>
      </c>
      <c r="E14" s="4" t="str">
        <f>IFERROR(ProductsData[[#This Row],[Product Name]],"")</f>
        <v>Camera</v>
      </c>
      <c r="F14" s="4">
        <f>IFERROR(ProductsData[[#This Row],[Cost]],"")</f>
        <v>12000</v>
      </c>
      <c r="G14" s="27">
        <f>SUMIF(PurchaseData[Product Name],InventoryData[[#This Row],[Product Name]],PurchaseData[Units])</f>
        <v>40</v>
      </c>
      <c r="H14" s="27">
        <f>SUMIF(SalesData[Product Name],InventoryData[[#This Row],[Product Name]],SalesData[Units])</f>
        <v>4</v>
      </c>
      <c r="I14" s="27">
        <f>InventoryData[[#This Row],[Purchase Units]]-InventoryData[[#This Row],[Sold Units]]</f>
        <v>36</v>
      </c>
      <c r="J14" s="4">
        <f>IFERROR(InventoryData[[#This Row],[Stock ]]*InventoryData[[#This Row],[Cost]],"")</f>
        <v>432000</v>
      </c>
      <c r="K14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35">
      <c r="A15" s="4"/>
      <c r="B15" s="2"/>
      <c r="C15" s="4"/>
      <c r="D15" s="4" t="str">
        <f>IFERROR(ProductsData[[#This Row],[HSN Code]],"")</f>
        <v>N10028</v>
      </c>
      <c r="E15" s="4" t="str">
        <f>IFERROR(ProductsData[[#This Row],[Product Name]],"")</f>
        <v>Headphones</v>
      </c>
      <c r="F15" s="4">
        <f>IFERROR(ProductsData[[#This Row],[Cost]],"")</f>
        <v>4000</v>
      </c>
      <c r="G15" s="27">
        <f>SUMIF(PurchaseData[Product Name],InventoryData[[#This Row],[Product Name]],PurchaseData[Units])</f>
        <v>60</v>
      </c>
      <c r="H15" s="27">
        <f>SUMIF(SalesData[Product Name],InventoryData[[#This Row],[Product Name]],SalesData[Units])</f>
        <v>6</v>
      </c>
      <c r="I15" s="27">
        <f>InventoryData[[#This Row],[Purchase Units]]-InventoryData[[#This Row],[Sold Units]]</f>
        <v>54</v>
      </c>
      <c r="J15" s="4">
        <f>IFERROR(InventoryData[[#This Row],[Stock ]]*InventoryData[[#This Row],[Cost]],"")</f>
        <v>216000</v>
      </c>
      <c r="K15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35">
      <c r="A16" s="4"/>
      <c r="B16" s="2"/>
      <c r="C16" s="4"/>
      <c r="D16" s="4" t="str">
        <f>IFERROR(ProductsData[[#This Row],[HSN Code]],"")</f>
        <v>N10029</v>
      </c>
      <c r="E16" s="4" t="str">
        <f>IFERROR(ProductsData[[#This Row],[Product Name]],"")</f>
        <v>Speakers</v>
      </c>
      <c r="F16" s="4">
        <f>IFERROR(ProductsData[[#This Row],[Cost]],"")</f>
        <v>3500</v>
      </c>
      <c r="G16" s="27">
        <f>SUMIF(PurchaseData[Product Name],InventoryData[[#This Row],[Product Name]],PurchaseData[Units])</f>
        <v>20</v>
      </c>
      <c r="H16" s="27">
        <f>SUMIF(SalesData[Product Name],InventoryData[[#This Row],[Product Name]],SalesData[Units])</f>
        <v>8</v>
      </c>
      <c r="I16" s="27">
        <f>InventoryData[[#This Row],[Purchase Units]]-InventoryData[[#This Row],[Sold Units]]</f>
        <v>12</v>
      </c>
      <c r="J16" s="4">
        <f>IFERROR(InventoryData[[#This Row],[Stock ]]*InventoryData[[#This Row],[Cost]],"")</f>
        <v>42000</v>
      </c>
      <c r="K16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35">
      <c r="A17" s="4"/>
      <c r="B17" s="2"/>
      <c r="C17" s="4"/>
      <c r="D17" s="4" t="str">
        <f>IFERROR(ProductsData[[#This Row],[HSN Code]],"")</f>
        <v>N10030</v>
      </c>
      <c r="E17" s="4" t="str">
        <f>IFERROR(ProductsData[[#This Row],[Product Name]],"")</f>
        <v>Tablets</v>
      </c>
      <c r="F17" s="4">
        <f>IFERROR(ProductsData[[#This Row],[Cost]],"")</f>
        <v>18000</v>
      </c>
      <c r="G17" s="27">
        <f>SUMIF(PurchaseData[Product Name],InventoryData[[#This Row],[Product Name]],PurchaseData[Units])</f>
        <v>20</v>
      </c>
      <c r="H17" s="27">
        <f>SUMIF(SalesData[Product Name],InventoryData[[#This Row],[Product Name]],SalesData[Units])</f>
        <v>6</v>
      </c>
      <c r="I17" s="27">
        <f>InventoryData[[#This Row],[Purchase Units]]-InventoryData[[#This Row],[Sold Units]]</f>
        <v>14</v>
      </c>
      <c r="J17" s="4">
        <f>IFERROR(InventoryData[[#This Row],[Stock ]]*InventoryData[[#This Row],[Cost]],"")</f>
        <v>252000</v>
      </c>
      <c r="K17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35">
      <c r="A18" s="4"/>
      <c r="B18" s="2"/>
      <c r="C18" s="4"/>
      <c r="D18" s="4" t="str">
        <f>IFERROR(ProductsData[[#This Row],[HSN Code]],"")</f>
        <v>N10031</v>
      </c>
      <c r="E18" s="4" t="str">
        <f>IFERROR(ProductsData[[#This Row],[Product Name]],"")</f>
        <v>Airpods</v>
      </c>
      <c r="F18" s="4">
        <f>IFERROR(ProductsData[[#This Row],[Cost]],"")</f>
        <v>2500</v>
      </c>
      <c r="G18" s="27">
        <f>SUMIF(PurchaseData[Product Name],InventoryData[[#This Row],[Product Name]],PurchaseData[Units])</f>
        <v>60</v>
      </c>
      <c r="H18" s="27">
        <f>SUMIF(SalesData[Product Name],InventoryData[[#This Row],[Product Name]],SalesData[Units])</f>
        <v>4</v>
      </c>
      <c r="I18" s="27">
        <f>InventoryData[[#This Row],[Purchase Units]]-InventoryData[[#This Row],[Sold Units]]</f>
        <v>56</v>
      </c>
      <c r="J18" s="4">
        <f>IFERROR(InventoryData[[#This Row],[Stock ]]*InventoryData[[#This Row],[Cost]],"")</f>
        <v>140000</v>
      </c>
      <c r="K18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35">
      <c r="A19" s="4"/>
      <c r="B19" s="2"/>
      <c r="C19" s="4"/>
      <c r="D19" s="4" t="str">
        <f>IFERROR(ProductsData[[#This Row],[HSN Code]],"")</f>
        <v>N10032</v>
      </c>
      <c r="E19" s="4" t="str">
        <f>IFERROR(ProductsData[[#This Row],[Product Name]],"")</f>
        <v>Mobile Phone</v>
      </c>
      <c r="F19" s="4">
        <f>IFERROR(ProductsData[[#This Row],[Cost]],"")</f>
        <v>30000</v>
      </c>
      <c r="G19" s="27">
        <f>SUMIF(PurchaseData[Product Name],InventoryData[[#This Row],[Product Name]],PurchaseData[Units])</f>
        <v>30</v>
      </c>
      <c r="H19" s="27">
        <f>SUMIF(SalesData[Product Name],InventoryData[[#This Row],[Product Name]],SalesData[Units])</f>
        <v>3</v>
      </c>
      <c r="I19" s="27">
        <f>InventoryData[[#This Row],[Purchase Units]]-InventoryData[[#This Row],[Sold Units]]</f>
        <v>27</v>
      </c>
      <c r="J19" s="4">
        <f>IFERROR(InventoryData[[#This Row],[Stock ]]*InventoryData[[#This Row],[Cost]],"")</f>
        <v>810000</v>
      </c>
      <c r="K19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35">
      <c r="A20" s="4"/>
      <c r="B20" s="2"/>
      <c r="C20" s="4"/>
      <c r="D20" s="4" t="str">
        <f>IFERROR(ProductsData[[#This Row],[HSN Code]],"")</f>
        <v/>
      </c>
      <c r="E20" s="4" t="str">
        <f>IFERROR(ProductsData[[#This Row],[Product Name]],"")</f>
        <v/>
      </c>
      <c r="F20" s="4" t="str">
        <f>IFERROR(ProductsData[[#This Row],[Cost]],"")</f>
        <v/>
      </c>
      <c r="G20" s="27"/>
      <c r="H20" s="27"/>
      <c r="I20" s="27"/>
      <c r="J20" s="4" t="str">
        <f>IFERROR(InventoryData[[#This Row],[Stock ]]*InventoryData[[#This Row],[Cost]],"")</f>
        <v/>
      </c>
      <c r="K20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35">
      <c r="A21" s="4"/>
      <c r="B21" s="2"/>
      <c r="C21" s="4"/>
      <c r="D21" s="4" t="str">
        <f>IFERROR(ProductsData[[#This Row],[HSN Code]],"")</f>
        <v/>
      </c>
      <c r="E21" s="4" t="str">
        <f>IFERROR(ProductsData[[#This Row],[Product Name]],"")</f>
        <v/>
      </c>
      <c r="F21" s="4" t="str">
        <f>IFERROR(ProductsData[[#This Row],[Cost]],"")</f>
        <v/>
      </c>
      <c r="G21" s="27"/>
      <c r="H21" s="27"/>
      <c r="I21" s="27"/>
      <c r="J21" s="4" t="str">
        <f>IFERROR(InventoryData[[#This Row],[Stock ]]*InventoryData[[#This Row],[Cost]],"")</f>
        <v/>
      </c>
      <c r="K21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35">
      <c r="A22" s="4"/>
      <c r="B22" s="2"/>
      <c r="C22" s="4"/>
      <c r="D22" s="4" t="str">
        <f>IFERROR(ProductsData[[#This Row],[HSN Code]],"")</f>
        <v/>
      </c>
      <c r="E22" s="4" t="str">
        <f>IFERROR(ProductsData[[#This Row],[Product Name]],"")</f>
        <v/>
      </c>
      <c r="F22" s="4" t="str">
        <f>IFERROR(ProductsData[[#This Row],[Cost]],"")</f>
        <v/>
      </c>
      <c r="G22" s="27"/>
      <c r="H22" s="27"/>
      <c r="I22" s="27"/>
      <c r="J22" s="4" t="str">
        <f>IFERROR(InventoryData[[#This Row],[Stock ]]*InventoryData[[#This Row],[Cost]],"")</f>
        <v/>
      </c>
      <c r="K22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35">
      <c r="A23" s="4"/>
      <c r="B23" s="2"/>
      <c r="C23" s="4"/>
      <c r="D23" s="4" t="str">
        <f>IFERROR(ProductsData[[#This Row],[HSN Code]],"")</f>
        <v/>
      </c>
      <c r="E23" s="4" t="str">
        <f>IFERROR(ProductsData[[#This Row],[Product Name]],"")</f>
        <v/>
      </c>
      <c r="F23" s="4" t="str">
        <f>IFERROR(ProductsData[[#This Row],[Cost]],"")</f>
        <v/>
      </c>
      <c r="G23" s="27"/>
      <c r="H23" s="27"/>
      <c r="I23" s="27"/>
      <c r="J23" s="4" t="str">
        <f>IFERROR(InventoryData[[#This Row],[Stock ]]*InventoryData[[#This Row],[Cost]],"")</f>
        <v/>
      </c>
      <c r="K23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x14ac:dyDescent="0.35">
      <c r="A24" s="4"/>
      <c r="B24" s="2"/>
      <c r="C24" s="4"/>
      <c r="D24" s="4" t="str">
        <f>IFERROR(ProductsData[[#This Row],[HSN Code]],"")</f>
        <v/>
      </c>
      <c r="E24" s="4" t="str">
        <f>IFERROR(ProductsData[[#This Row],[Product Name]],"")</f>
        <v/>
      </c>
      <c r="F24" s="4" t="str">
        <f>IFERROR(ProductsData[[#This Row],[Cost]],"")</f>
        <v/>
      </c>
      <c r="G24" s="27"/>
      <c r="H24" s="27"/>
      <c r="I24" s="27"/>
      <c r="J24" s="4" t="str">
        <f>IFERROR(InventoryData[[#This Row],[Stock ]]*InventoryData[[#This Row],[Cost]],"")</f>
        <v/>
      </c>
      <c r="K24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35">
      <c r="A25" s="4"/>
      <c r="B25" s="2"/>
      <c r="C25" s="4"/>
      <c r="D25" s="4" t="str">
        <f>IFERROR(ProductsData[[#This Row],[HSN Code]],"")</f>
        <v/>
      </c>
      <c r="E25" s="4" t="str">
        <f>IFERROR(ProductsData[[#This Row],[Product Name]],"")</f>
        <v/>
      </c>
      <c r="F25" s="4" t="str">
        <f>IFERROR(ProductsData[[#This Row],[Cost]],"")</f>
        <v/>
      </c>
      <c r="G25" s="27"/>
      <c r="H25" s="27"/>
      <c r="I25" s="27"/>
      <c r="J25" s="4" t="str">
        <f>IFERROR(InventoryData[[#This Row],[Stock ]]*InventoryData[[#This Row],[Cost]],"")</f>
        <v/>
      </c>
      <c r="K25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x14ac:dyDescent="0.35">
      <c r="A26" s="4"/>
      <c r="B26" s="2"/>
      <c r="C26" s="4"/>
      <c r="D26" s="4" t="str">
        <f>IFERROR(ProductsData[[#This Row],[HSN Code]],"")</f>
        <v/>
      </c>
      <c r="E26" s="4" t="str">
        <f>IFERROR(ProductsData[[#This Row],[Product Name]],"")</f>
        <v/>
      </c>
      <c r="F26" s="4" t="str">
        <f>IFERROR(ProductsData[[#This Row],[Cost]],"")</f>
        <v/>
      </c>
      <c r="G26" s="27"/>
      <c r="H26" s="27"/>
      <c r="I26" s="27"/>
      <c r="J26" s="4" t="str">
        <f>IFERROR(InventoryData[[#This Row],[Stock ]]*InventoryData[[#This Row],[Cost]],"")</f>
        <v/>
      </c>
      <c r="K26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35">
      <c r="A27" s="4"/>
      <c r="B27" s="2"/>
      <c r="C27" s="4"/>
      <c r="D27" s="4" t="str">
        <f>IFERROR(ProductsData[[#This Row],[HSN Code]],"")</f>
        <v/>
      </c>
      <c r="E27" s="4" t="str">
        <f>IFERROR(ProductsData[[#This Row],[Product Name]],"")</f>
        <v/>
      </c>
      <c r="F27" s="4" t="str">
        <f>IFERROR(ProductsData[[#This Row],[Cost]],"")</f>
        <v/>
      </c>
      <c r="G27" s="27"/>
      <c r="H27" s="27"/>
      <c r="I27" s="27"/>
      <c r="J27" s="4" t="str">
        <f>IFERROR(InventoryData[[#This Row],[Stock ]]*InventoryData[[#This Row],[Cost]],"")</f>
        <v/>
      </c>
      <c r="K27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x14ac:dyDescent="0.35">
      <c r="A28" s="4"/>
      <c r="B28" s="2"/>
      <c r="C28" s="4"/>
      <c r="D28" s="4" t="str">
        <f>IFERROR(ProductsData[[#This Row],[HSN Code]],"")</f>
        <v/>
      </c>
      <c r="E28" s="4" t="str">
        <f>IFERROR(ProductsData[[#This Row],[Product Name]],"")</f>
        <v/>
      </c>
      <c r="F28" s="4" t="str">
        <f>IFERROR(ProductsData[[#This Row],[Cost]],"")</f>
        <v/>
      </c>
      <c r="G28" s="27"/>
      <c r="H28" s="27"/>
      <c r="I28" s="27"/>
      <c r="J28" s="4" t="str">
        <f>IFERROR(InventoryData[[#This Row],[Stock ]]*InventoryData[[#This Row],[Cost]],"")</f>
        <v/>
      </c>
      <c r="K28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35">
      <c r="A29" s="4"/>
      <c r="B29" s="4"/>
      <c r="C29" s="4"/>
      <c r="D29" s="4" t="str">
        <f>IFERROR(ProductsData[[#This Row],[HSN Code]],"")</f>
        <v/>
      </c>
      <c r="E29" s="4" t="str">
        <f>IFERROR(ProductsData[[#This Row],[Product Name]],"")</f>
        <v/>
      </c>
      <c r="F29" s="4" t="str">
        <f>IFERROR(ProductsData[[#This Row],[Cost]],"")</f>
        <v/>
      </c>
      <c r="G29" s="27"/>
      <c r="H29" s="27"/>
      <c r="I29" s="27"/>
      <c r="J29" s="4" t="str">
        <f>IFERROR(InventoryData[[#This Row],[Stock ]]*InventoryData[[#This Row],[Cost]],"")</f>
        <v/>
      </c>
      <c r="K29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x14ac:dyDescent="0.35">
      <c r="A30" s="4"/>
      <c r="B30" s="4"/>
      <c r="C30" s="4"/>
      <c r="D30" s="4" t="str">
        <f>IFERROR(ProductsData[[#This Row],[HSN Code]],"")</f>
        <v/>
      </c>
      <c r="E30" s="4" t="str">
        <f>IFERROR(ProductsData[[#This Row],[Product Name]],"")</f>
        <v/>
      </c>
      <c r="F30" s="4" t="str">
        <f>IFERROR(ProductsData[[#This Row],[Cost]],"")</f>
        <v/>
      </c>
      <c r="G30" s="27"/>
      <c r="H30" s="27"/>
      <c r="I30" s="27"/>
      <c r="J30" s="4" t="str">
        <f>IFERROR(InventoryData[[#This Row],[Stock ]]*InventoryData[[#This Row],[Cost]],"")</f>
        <v/>
      </c>
      <c r="K30" s="27" t="str">
        <f>IFERROR(IF(InventoryData[[#This Row],[Stock ]]&lt;5,"📞 "&amp;InventoryData[[#This Row],[Product Name]]&amp;" Needs to re-order !  PH "&amp;VLOOKUP(InventoryData[[#This Row],[HSN Code]],vendorsdata[#All],4,0),""),"")</f>
        <v/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35">
      <c r="A31" s="4"/>
      <c r="B31" s="4"/>
      <c r="C31" s="4"/>
      <c r="D31" s="4"/>
      <c r="E31" s="4"/>
      <c r="F31" s="4"/>
      <c r="G31" s="27"/>
      <c r="H31" s="27"/>
      <c r="I31" s="2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35">
      <c r="A32" s="4"/>
      <c r="B32" s="4"/>
      <c r="C32" s="4"/>
      <c r="D32" s="4"/>
      <c r="E32" s="4"/>
      <c r="F32" s="4"/>
      <c r="G32" s="27"/>
      <c r="H32" s="27"/>
      <c r="I32" s="2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x14ac:dyDescent="0.35">
      <c r="A33" s="4"/>
      <c r="B33" s="4"/>
      <c r="C33" s="4"/>
      <c r="D33" s="4"/>
      <c r="E33" s="4"/>
      <c r="F33" s="4"/>
      <c r="G33" s="27"/>
      <c r="H33" s="27"/>
      <c r="I33" s="2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x14ac:dyDescent="0.35">
      <c r="A34" s="4"/>
      <c r="B34" s="4"/>
      <c r="C34" s="4"/>
      <c r="D34" s="4"/>
      <c r="E34" s="4"/>
      <c r="F34" s="4"/>
      <c r="G34" s="27"/>
      <c r="H34" s="27"/>
      <c r="I34" s="2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x14ac:dyDescent="0.35">
      <c r="A35" s="4"/>
      <c r="B35" s="4"/>
      <c r="C35" s="4"/>
      <c r="D35" s="4"/>
      <c r="E35" s="4"/>
      <c r="F35" s="4"/>
      <c r="G35" s="27"/>
      <c r="H35" s="27"/>
      <c r="I35" s="2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408D-DC09-45AB-A3E2-9838F74CC4DD}">
  <dimension ref="A1:I29"/>
  <sheetViews>
    <sheetView workbookViewId="0">
      <selection activeCell="E2" sqref="E2"/>
    </sheetView>
  </sheetViews>
  <sheetFormatPr defaultRowHeight="21" x14ac:dyDescent="0.35"/>
  <cols>
    <col min="1" max="1" width="13.26953125" bestFit="1" customWidth="1"/>
    <col min="2" max="2" width="11.54296875" bestFit="1" customWidth="1"/>
    <col min="3" max="3" width="14.81640625" bestFit="1" customWidth="1"/>
    <col min="5" max="5" width="13.1796875" bestFit="1" customWidth="1"/>
    <col min="6" max="6" width="14.81640625" bestFit="1" customWidth="1"/>
    <col min="7" max="7" width="10.90625" bestFit="1" customWidth="1"/>
    <col min="8" max="8" width="12.453125" bestFit="1" customWidth="1"/>
    <col min="9" max="9" width="13.26953125" bestFit="1" customWidth="1"/>
  </cols>
  <sheetData>
    <row r="1" spans="1:9" x14ac:dyDescent="0.35">
      <c r="E1" t="s">
        <v>142</v>
      </c>
      <c r="G1" s="29" t="s">
        <v>144</v>
      </c>
    </row>
    <row r="2" spans="1:9" x14ac:dyDescent="0.35">
      <c r="E2">
        <v>1283875</v>
      </c>
      <c r="G2" s="30">
        <f>E2</f>
        <v>1283875</v>
      </c>
    </row>
    <row r="3" spans="1:9" x14ac:dyDescent="0.35">
      <c r="A3" t="s">
        <v>138</v>
      </c>
      <c r="C3" s="29" t="s">
        <v>139</v>
      </c>
    </row>
    <row r="4" spans="1:9" x14ac:dyDescent="0.35">
      <c r="A4">
        <v>20</v>
      </c>
      <c r="C4">
        <f>A4</f>
        <v>20</v>
      </c>
      <c r="E4" s="29" t="s">
        <v>146</v>
      </c>
    </row>
    <row r="5" spans="1:9" x14ac:dyDescent="0.35">
      <c r="E5" s="30">
        <f>C14+G2-C10</f>
        <v>256775</v>
      </c>
    </row>
    <row r="6" spans="1:9" x14ac:dyDescent="0.35">
      <c r="A6" t="s">
        <v>140</v>
      </c>
      <c r="C6" s="29" t="s">
        <v>141</v>
      </c>
    </row>
    <row r="7" spans="1:9" x14ac:dyDescent="0.35">
      <c r="A7">
        <v>12</v>
      </c>
      <c r="C7">
        <f>A7</f>
        <v>12</v>
      </c>
      <c r="E7" s="32" t="s">
        <v>147</v>
      </c>
      <c r="F7" t="s">
        <v>149</v>
      </c>
      <c r="H7" s="32" t="s">
        <v>147</v>
      </c>
      <c r="I7" t="s">
        <v>142</v>
      </c>
    </row>
    <row r="8" spans="1:9" x14ac:dyDescent="0.35">
      <c r="E8" s="3" t="s">
        <v>80</v>
      </c>
      <c r="F8">
        <v>11</v>
      </c>
      <c r="H8" s="3" t="s">
        <v>34</v>
      </c>
      <c r="I8">
        <v>300000</v>
      </c>
    </row>
    <row r="9" spans="1:9" x14ac:dyDescent="0.35">
      <c r="A9" t="s">
        <v>142</v>
      </c>
      <c r="C9" s="29" t="s">
        <v>143</v>
      </c>
      <c r="E9" s="3" t="s">
        <v>86</v>
      </c>
      <c r="F9">
        <v>8</v>
      </c>
      <c r="H9" s="3" t="s">
        <v>24</v>
      </c>
      <c r="I9">
        <v>250000</v>
      </c>
    </row>
    <row r="10" spans="1:9" x14ac:dyDescent="0.35">
      <c r="A10">
        <v>4603500</v>
      </c>
      <c r="C10" s="31">
        <f>A10</f>
        <v>4603500</v>
      </c>
      <c r="E10" s="3" t="s">
        <v>87</v>
      </c>
      <c r="F10">
        <v>7</v>
      </c>
      <c r="H10" s="3" t="s">
        <v>33</v>
      </c>
      <c r="I10">
        <v>225000</v>
      </c>
    </row>
    <row r="11" spans="1:9" x14ac:dyDescent="0.35">
      <c r="E11" s="3" t="s">
        <v>83</v>
      </c>
      <c r="F11">
        <v>7</v>
      </c>
      <c r="H11" s="3" t="s">
        <v>30</v>
      </c>
      <c r="I11">
        <v>157500</v>
      </c>
    </row>
    <row r="12" spans="1:9" x14ac:dyDescent="0.35">
      <c r="E12" s="3" t="s">
        <v>85</v>
      </c>
      <c r="F12">
        <v>6</v>
      </c>
      <c r="H12" s="3" t="s">
        <v>36</v>
      </c>
      <c r="I12">
        <v>112500</v>
      </c>
    </row>
    <row r="13" spans="1:9" x14ac:dyDescent="0.35">
      <c r="A13" t="s">
        <v>145</v>
      </c>
      <c r="C13" s="29" t="s">
        <v>96</v>
      </c>
      <c r="E13" s="3" t="s">
        <v>148</v>
      </c>
      <c r="F13">
        <v>39</v>
      </c>
      <c r="H13" s="3" t="s">
        <v>148</v>
      </c>
      <c r="I13">
        <v>1045000</v>
      </c>
    </row>
    <row r="14" spans="1:9" x14ac:dyDescent="0.35">
      <c r="A14">
        <v>3576400</v>
      </c>
      <c r="C14" s="30">
        <f>A14</f>
        <v>3576400</v>
      </c>
    </row>
    <row r="16" spans="1:9" x14ac:dyDescent="0.35">
      <c r="A16" s="32" t="s">
        <v>147</v>
      </c>
      <c r="B16" t="s">
        <v>151</v>
      </c>
    </row>
    <row r="17" spans="1:2" x14ac:dyDescent="0.35">
      <c r="A17" s="3" t="s">
        <v>79</v>
      </c>
      <c r="B17">
        <v>80</v>
      </c>
    </row>
    <row r="18" spans="1:2" x14ac:dyDescent="0.35">
      <c r="A18" s="3" t="s">
        <v>125</v>
      </c>
      <c r="B18">
        <v>56</v>
      </c>
    </row>
    <row r="19" spans="1:2" x14ac:dyDescent="0.35">
      <c r="A19" s="3" t="s">
        <v>85</v>
      </c>
      <c r="B19">
        <v>54</v>
      </c>
    </row>
    <row r="20" spans="1:2" x14ac:dyDescent="0.35">
      <c r="A20" s="3" t="s">
        <v>84</v>
      </c>
      <c r="B20">
        <v>36</v>
      </c>
    </row>
    <row r="21" spans="1:2" x14ac:dyDescent="0.35">
      <c r="A21" s="3" t="s">
        <v>136</v>
      </c>
      <c r="B21">
        <v>27</v>
      </c>
    </row>
    <row r="22" spans="1:2" x14ac:dyDescent="0.35">
      <c r="A22" s="3" t="s">
        <v>82</v>
      </c>
      <c r="B22">
        <v>18</v>
      </c>
    </row>
    <row r="23" spans="1:2" x14ac:dyDescent="0.35">
      <c r="A23" s="3" t="s">
        <v>80</v>
      </c>
      <c r="B23">
        <v>14</v>
      </c>
    </row>
    <row r="24" spans="1:2" x14ac:dyDescent="0.35">
      <c r="A24" s="3" t="s">
        <v>87</v>
      </c>
      <c r="B24">
        <v>13</v>
      </c>
    </row>
    <row r="25" spans="1:2" x14ac:dyDescent="0.35">
      <c r="A25" s="3" t="s">
        <v>86</v>
      </c>
      <c r="B25">
        <v>12</v>
      </c>
    </row>
    <row r="26" spans="1:2" x14ac:dyDescent="0.35">
      <c r="A26" s="3" t="s">
        <v>81</v>
      </c>
      <c r="B26">
        <v>9</v>
      </c>
    </row>
    <row r="27" spans="1:2" x14ac:dyDescent="0.35">
      <c r="A27" s="3" t="s">
        <v>132</v>
      </c>
      <c r="B27">
        <v>8</v>
      </c>
    </row>
    <row r="28" spans="1:2" x14ac:dyDescent="0.35">
      <c r="A28" s="3" t="s">
        <v>83</v>
      </c>
      <c r="B28">
        <v>3</v>
      </c>
    </row>
    <row r="29" spans="1:2" x14ac:dyDescent="0.35">
      <c r="A29" s="3" t="s">
        <v>148</v>
      </c>
      <c r="B29">
        <v>330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3326572-1C5E-414B-8B9D-F0B711BF3254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10</xm:f>
              </x14:cfvo>
              <x14:cfIcon iconSet="3Arrows" iconId="0"/>
              <x14:cfIcon iconSet="3Arrows" iconId="1"/>
              <x14:cfIcon iconSet="3Arrows" iconId="2"/>
            </x14:iconSet>
          </x14:cfRule>
          <xm:sqref>E5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B49172-2EC5-4285-8BA8-4D4D2F3DC0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Dashboard</vt:lpstr>
      <vt:lpstr>Customers</vt:lpstr>
      <vt:lpstr>Vendors</vt:lpstr>
      <vt:lpstr>Products</vt:lpstr>
      <vt:lpstr>New Entry</vt:lpstr>
      <vt:lpstr>Purchase</vt:lpstr>
      <vt:lpstr>Sales</vt:lpstr>
      <vt:lpstr>Inventory</vt:lpstr>
      <vt:lpstr>Pivots</vt:lpstr>
      <vt:lpstr>Cust_ID</vt:lpstr>
      <vt:lpstr>HSN_Code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Ajmal</dc:creator>
  <cp:lastModifiedBy>Muhammad Ajmal</cp:lastModifiedBy>
  <dcterms:created xsi:type="dcterms:W3CDTF">2026-01-20T06:39:54Z</dcterms:created>
  <dcterms:modified xsi:type="dcterms:W3CDTF">2026-03-05T05:24:18Z</dcterms:modified>
</cp:coreProperties>
</file>